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Uni\Machine Learning\1st Assignment\"/>
    </mc:Choice>
  </mc:AlternateContent>
  <bookViews>
    <workbookView xWindow="0" yWindow="0" windowWidth="19200" windowHeight="6330" activeTab="1"/>
  </bookViews>
  <sheets>
    <sheet name="F1 score" sheetId="2" r:id="rId1"/>
    <sheet name="Worksheet" sheetId="1" r:id="rId2"/>
  </sheet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N2" i="1" l="1"/>
  <c r="M2" i="1"/>
  <c r="P2" i="1"/>
  <c r="U3" i="1"/>
  <c r="U4" i="1"/>
  <c r="U5" i="1"/>
  <c r="U6" i="1"/>
  <c r="U7" i="1"/>
  <c r="U8" i="1"/>
  <c r="U9" i="1"/>
  <c r="U2" i="1"/>
  <c r="R2" i="1" l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O3" i="1"/>
  <c r="W2" i="1" l="1"/>
  <c r="W9" i="1"/>
  <c r="W5" i="1"/>
  <c r="W8" i="1"/>
  <c r="W6" i="1"/>
  <c r="W4" i="1"/>
  <c r="W7" i="1"/>
  <c r="W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2" i="1"/>
  <c r="K3" i="1"/>
  <c r="M3" i="1" s="1"/>
  <c r="K4" i="1"/>
  <c r="M4" i="1" s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K51" i="1"/>
  <c r="M51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M64" i="1" s="1"/>
  <c r="K65" i="1"/>
  <c r="M65" i="1" s="1"/>
  <c r="K2" i="1"/>
  <c r="V2" i="1" l="1"/>
  <c r="V6" i="1"/>
  <c r="V8" i="1"/>
  <c r="V4" i="1"/>
  <c r="V9" i="1"/>
  <c r="V7" i="1"/>
  <c r="V5" i="1"/>
  <c r="V3" i="1"/>
</calcChain>
</file>

<file path=xl/sharedStrings.xml><?xml version="1.0" encoding="utf-8"?>
<sst xmlns="http://schemas.openxmlformats.org/spreadsheetml/2006/main" count="229" uniqueCount="36">
  <si>
    <t>Classifier</t>
  </si>
  <si>
    <t>Set</t>
  </si>
  <si>
    <t>Balanced Set</t>
  </si>
  <si>
    <t>Training Samples</t>
  </si>
  <si>
    <t>Non-healthy Training</t>
  </si>
  <si>
    <t>TP</t>
  </si>
  <si>
    <t>TN</t>
  </si>
  <si>
    <t>FP</t>
  </si>
  <si>
    <t>FN</t>
  </si>
  <si>
    <t>ROC-AUC</t>
  </si>
  <si>
    <t>Linear Discriminant Analysis</t>
  </si>
  <si>
    <t>Train</t>
  </si>
  <si>
    <t>Balanced</t>
  </si>
  <si>
    <t>Test</t>
  </si>
  <si>
    <t>Logistic Regression</t>
  </si>
  <si>
    <t>Decision Tree</t>
  </si>
  <si>
    <t>Random Forest</t>
  </si>
  <si>
    <t>k-Nearest Neighbors</t>
  </si>
  <si>
    <t>Naive Bayes</t>
  </si>
  <si>
    <t>Support Vector Machine</t>
  </si>
  <si>
    <t>Gradient Boosting</t>
  </si>
  <si>
    <t xml:space="preserve">Accuracy </t>
  </si>
  <si>
    <t>Precision</t>
  </si>
  <si>
    <t>F1 score</t>
  </si>
  <si>
    <t>P</t>
  </si>
  <si>
    <t>N</t>
  </si>
  <si>
    <t>Μετρική 2: MCC</t>
  </si>
  <si>
    <t>Μετρική 1: Cohen's KAPPA</t>
  </si>
  <si>
    <t>Row Labels</t>
  </si>
  <si>
    <t>Grand Total</t>
  </si>
  <si>
    <t>Column Labels</t>
  </si>
  <si>
    <t>Max of F1 score</t>
  </si>
  <si>
    <t xml:space="preserve">Average Recall Positive </t>
  </si>
  <si>
    <t xml:space="preserve">Average Recall Negative </t>
  </si>
  <si>
    <t>Recall (Positve)</t>
  </si>
  <si>
    <t>Recall (Negative)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</si>
</sst>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0.000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1" xfId="0" applyFill="1" applyBorder="1"/>
    <xf numFmtId="0" fontId="0" fillId="4" borderId="9" xfId="0" applyNumberFormat="1" applyFill="1" applyBorder="1"/>
    <xf numFmtId="0" fontId="0" fillId="4" borderId="11" xfId="0" applyNumberFormat="1" applyFill="1" applyBorder="1"/>
    <xf numFmtId="0" fontId="0" fillId="4" borderId="7" xfId="0" applyNumberFormat="1" applyFill="1" applyBorder="1"/>
    <xf numFmtId="0" fontId="1" fillId="5" borderId="9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8" xfId="0" applyFont="1" applyFill="1" applyBorder="1"/>
    <xf numFmtId="0" fontId="1" fillId="3" borderId="5" xfId="0" applyFont="1" applyFill="1" applyBorder="1"/>
    <xf numFmtId="0" fontId="2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171" fontId="0" fillId="0" borderId="8" xfId="0" applyNumberFormat="1" applyBorder="1"/>
    <xf numFmtId="171" fontId="0" fillId="0" borderId="5" xfId="0" applyNumberFormat="1" applyBorder="1"/>
    <xf numFmtId="171" fontId="0" fillId="0" borderId="10" xfId="0" applyNumberFormat="1" applyBorder="1"/>
    <xf numFmtId="171" fontId="0" fillId="0" borderId="6" xfId="0" applyNumberFormat="1" applyBorder="1"/>
    <xf numFmtId="10" fontId="0" fillId="0" borderId="0" xfId="0" applyNumberFormat="1"/>
    <xf numFmtId="10" fontId="0" fillId="0" borderId="1" xfId="0" applyNumberFormat="1" applyBorder="1"/>
    <xf numFmtId="10" fontId="0" fillId="0" borderId="4" xfId="0" applyNumberFormat="1" applyBorder="1"/>
  </cellXfs>
  <cellStyles count="1">
    <cellStyle name="Normal" xfId="0" builtinId="0"/>
  </cellStyles>
  <dxfs count="34">
    <dxf>
      <numFmt numFmtId="14" formatCode="0.00%"/>
    </dxf>
    <dxf>
      <numFmt numFmtId="171" formatCode="0.000"/>
    </dxf>
    <dxf>
      <numFmt numFmtId="170" formatCode="0.0000"/>
    </dxf>
    <dxf>
      <numFmt numFmtId="169" formatCode="0.00000"/>
    </dxf>
    <dxf>
      <numFmt numFmtId="168" formatCode="0.000000"/>
    </dxf>
    <dxf>
      <numFmt numFmtId="167" formatCode="0.0000000"/>
    </dxf>
    <dxf>
      <numFmt numFmtId="166" formatCode="0.00000000"/>
    </dxf>
    <dxf>
      <numFmt numFmtId="165" formatCode="0.000000000"/>
    </dxf>
    <dxf>
      <numFmt numFmtId="166" formatCode="0.00000000"/>
    </dxf>
    <dxf>
      <numFmt numFmtId="167" formatCode="0.000000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170" formatCode="0.0000"/>
    </dxf>
    <dxf>
      <numFmt numFmtId="169" formatCode="0.00000"/>
    </dxf>
    <dxf>
      <numFmt numFmtId="168" formatCode="0.000000"/>
    </dxf>
    <dxf>
      <numFmt numFmtId="167" formatCode="0.0000000"/>
    </dxf>
    <dxf>
      <numFmt numFmtId="166" formatCode="0.00000000"/>
    </dxf>
    <dxf>
      <numFmt numFmtId="165" formatCode="0.000000000"/>
    </dxf>
    <dxf>
      <numFmt numFmtId="164" formatCode="0.0000000000"/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0" tint="-0.14999847407452621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[balancedDataOutcomes.xlsx]F1 score!PivotTable1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F1 Score by Classifier and Set</a:t>
            </a:r>
            <a:endParaRPr lang="en-US"/>
          </a:p>
        </c:rich>
      </c:tx>
      <c:layout>
        <c:manualLayout>
          <c:xMode val="edge"/>
          <c:yMode val="edge"/>
          <c:x val="0.2585485564304461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'F1 score'!$B$3:$B$4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'F1 score'!$A$5:$A$13</c:f>
              <c:strCache>
                <c:ptCount val="8"/>
                <c:pt idx="0">
                  <c:v>Decision Tree</c:v>
                </c:pt>
                <c:pt idx="1">
                  <c:v>Gradient Boosting</c:v>
                </c:pt>
                <c:pt idx="2">
                  <c:v>k-Nearest Neighbors</c:v>
                </c:pt>
                <c:pt idx="3">
                  <c:v>Linear Discriminant Analysis</c:v>
                </c:pt>
                <c:pt idx="4">
                  <c:v>Logistic Regression</c:v>
                </c:pt>
                <c:pt idx="5">
                  <c:v>Naive Bayes</c:v>
                </c:pt>
                <c:pt idx="6">
                  <c:v>Random Forest</c:v>
                </c:pt>
                <c:pt idx="7">
                  <c:v>Support Vector Machine</c:v>
                </c:pt>
              </c:strCache>
            </c:strRef>
          </c:cat>
          <c:val>
            <c:numRef>
              <c:f>'F1 score'!$B$5:$B$13</c:f>
              <c:numCache>
                <c:formatCode>0.00%</c:formatCode>
                <c:ptCount val="8"/>
                <c:pt idx="0">
                  <c:v>0.90334572490706322</c:v>
                </c:pt>
                <c:pt idx="1">
                  <c:v>0.95638444839155323</c:v>
                </c:pt>
                <c:pt idx="2">
                  <c:v>0.93974461292897049</c:v>
                </c:pt>
                <c:pt idx="3">
                  <c:v>0.95932403222637064</c:v>
                </c:pt>
                <c:pt idx="4">
                  <c:v>0.95847274158630191</c:v>
                </c:pt>
                <c:pt idx="5">
                  <c:v>0.93696217730638387</c:v>
                </c:pt>
                <c:pt idx="6">
                  <c:v>0.96319498825371963</c:v>
                </c:pt>
                <c:pt idx="7">
                  <c:v>0.97073076177553785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D-4DCC-9F87-20D2D62F4A63}"/>
            </c:ext>
          </c:extLst>
        </c:ser>
        <c:ser>
          <c:idx val="1"/>
          <c:order val="1"/>
          <c:tx>
            <c:strRef>
              <c:f>'F1 score'!$C$3:$C$4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'F1 score'!$A$5:$A$13</c:f>
              <c:strCache>
                <c:ptCount val="8"/>
                <c:pt idx="0">
                  <c:v>Decision Tree</c:v>
                </c:pt>
                <c:pt idx="1">
                  <c:v>Gradient Boosting</c:v>
                </c:pt>
                <c:pt idx="2">
                  <c:v>k-Nearest Neighbors</c:v>
                </c:pt>
                <c:pt idx="3">
                  <c:v>Linear Discriminant Analysis</c:v>
                </c:pt>
                <c:pt idx="4">
                  <c:v>Logistic Regression</c:v>
                </c:pt>
                <c:pt idx="5">
                  <c:v>Naive Bayes</c:v>
                </c:pt>
                <c:pt idx="6">
                  <c:v>Random Forest</c:v>
                </c:pt>
                <c:pt idx="7">
                  <c:v>Support Vector Machine</c:v>
                </c:pt>
              </c:strCache>
            </c:strRef>
          </c:cat>
          <c:val>
            <c:numRef>
              <c:f>'F1 score'!$C$5:$C$13</c:f>
              <c:numCache>
                <c:formatCode>0.000</c:formatCode>
                <c:ptCount val="8"/>
                <c:pt idx="0">
                  <c:v>1</c:v>
                </c:pt>
                <c:pt idx="1">
                  <c:v>0.96932515337423308</c:v>
                </c:pt>
                <c:pt idx="2">
                  <c:v>0.90595340811044001</c:v>
                </c:pt>
                <c:pt idx="3">
                  <c:v>0.88777219430485765</c:v>
                </c:pt>
                <c:pt idx="4">
                  <c:v>0.88590604026845643</c:v>
                </c:pt>
                <c:pt idx="5">
                  <c:v>0.868824531516184</c:v>
                </c:pt>
                <c:pt idx="6">
                  <c:v>1</c:v>
                </c:pt>
                <c:pt idx="7">
                  <c:v>0.88666666666666671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AD-4DCC-9F87-20D2D62F4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867328"/>
        <c:axId val="1604869408"/>
      </c:barChart>
      <c:catAx>
        <c:axId val="1604867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Classifiers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869408"/>
        <c:crosses val="autoZero"/>
        <c:auto val="1"/>
        <c:lblAlgn val="ctr"/>
        <c:lblOffset val="100"/>
        <c:noMultiLvlLbl val="0"/>
      </c:catAx>
      <c:valAx>
        <c:axId val="160486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F1 score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8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[balancedDataOutcomes.xlsx]F1 score!PivotTable1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'F1 score'!$B$3:$B$4</c:f>
              <c:strCache>
                <c:ptCount val="1"/>
                <c:pt idx="0">
                  <c:v>Test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'F1 score'!$A$5:$A$13</c:f>
              <c:strCache>
                <c:ptCount val="8"/>
                <c:pt idx="0">
                  <c:v>Decision Tree</c:v>
                </c:pt>
                <c:pt idx="1">
                  <c:v>Gradient Boosting</c:v>
                </c:pt>
                <c:pt idx="2">
                  <c:v>k-Nearest Neighbors</c:v>
                </c:pt>
                <c:pt idx="3">
                  <c:v>Linear Discriminant Analysis</c:v>
                </c:pt>
                <c:pt idx="4">
                  <c:v>Logistic Regression</c:v>
                </c:pt>
                <c:pt idx="5">
                  <c:v>Naive Bayes</c:v>
                </c:pt>
                <c:pt idx="6">
                  <c:v>Random Forest</c:v>
                </c:pt>
                <c:pt idx="7">
                  <c:v>Support Vector Machine</c:v>
                </c:pt>
              </c:strCache>
            </c:strRef>
          </c:cat>
          <c:val>
            <c:numRef>
              <c:f>'F1 score'!$B$5:$B$13</c:f>
              <c:numCache>
                <c:formatCode>0.00%</c:formatCode>
                <c:ptCount val="8"/>
                <c:pt idx="0">
                  <c:v>0.90334572490706322</c:v>
                </c:pt>
                <c:pt idx="1">
                  <c:v>0.95638444839155323</c:v>
                </c:pt>
                <c:pt idx="2">
                  <c:v>0.93974461292897049</c:v>
                </c:pt>
                <c:pt idx="3">
                  <c:v>0.95932403222637064</c:v>
                </c:pt>
                <c:pt idx="4">
                  <c:v>0.95847274158630191</c:v>
                </c:pt>
                <c:pt idx="5">
                  <c:v>0.93696217730638387</c:v>
                </c:pt>
                <c:pt idx="6">
                  <c:v>0.96319498825371963</c:v>
                </c:pt>
                <c:pt idx="7">
                  <c:v>0.97073076177553785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D-4763-87EB-60FC43C18802}"/>
            </c:ext>
          </c:extLst>
        </c:ser>
        <c:ser>
          <c:idx val="1"/>
          <c:order val="1"/>
          <c:tx>
            <c:strRef>
              <c:f>'F1 score'!$C$3:$C$4</c:f>
              <c:strCache>
                <c:ptCount val="1"/>
                <c:pt idx="0">
                  <c:v>Train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'F1 score'!$A$5:$A$13</c:f>
              <c:strCache>
                <c:ptCount val="8"/>
                <c:pt idx="0">
                  <c:v>Decision Tree</c:v>
                </c:pt>
                <c:pt idx="1">
                  <c:v>Gradient Boosting</c:v>
                </c:pt>
                <c:pt idx="2">
                  <c:v>k-Nearest Neighbors</c:v>
                </c:pt>
                <c:pt idx="3">
                  <c:v>Linear Discriminant Analysis</c:v>
                </c:pt>
                <c:pt idx="4">
                  <c:v>Logistic Regression</c:v>
                </c:pt>
                <c:pt idx="5">
                  <c:v>Naive Bayes</c:v>
                </c:pt>
                <c:pt idx="6">
                  <c:v>Random Forest</c:v>
                </c:pt>
                <c:pt idx="7">
                  <c:v>Support Vector Machine</c:v>
                </c:pt>
              </c:strCache>
            </c:strRef>
          </c:cat>
          <c:val>
            <c:numRef>
              <c:f>'F1 score'!$C$5:$C$13</c:f>
              <c:numCache>
                <c:formatCode>0.000</c:formatCode>
                <c:ptCount val="8"/>
                <c:pt idx="0">
                  <c:v>1</c:v>
                </c:pt>
                <c:pt idx="1">
                  <c:v>0.96932515337423308</c:v>
                </c:pt>
                <c:pt idx="2">
                  <c:v>0.90595340811044001</c:v>
                </c:pt>
                <c:pt idx="3">
                  <c:v>0.88777219430485765</c:v>
                </c:pt>
                <c:pt idx="4">
                  <c:v>0.88590604026845643</c:v>
                </c:pt>
                <c:pt idx="5">
                  <c:v>0.868824531516184</c:v>
                </c:pt>
                <c:pt idx="6">
                  <c:v>1</c:v>
                </c:pt>
                <c:pt idx="7">
                  <c:v>0.88666666666666671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7D-4763-87EB-60FC43C18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5783472"/>
        <c:axId val="2015785136"/>
      </c:lineChart>
      <c:catAx>
        <c:axId val="201578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Classifiers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785136"/>
        <c:crosses val="autoZero"/>
        <c:auto val="1"/>
        <c:lblAlgn val="ctr"/>
        <c:lblOffset val="100"/>
        <c:noMultiLvlLbl val="0"/>
      </c:catAx>
      <c:valAx>
        <c:axId val="201578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F1 score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78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Worksheet!$V$1</c:f>
              <c:strCache>
                <c:ptCount val="1"/>
                <c:pt idx="0">
                  <c:v>Average Recall Positive </c:v>
                </c:pt>
              </c:strCache>
            </c:strRef>
          </c:tx>
          <c:spPr>
            <a:solidFill>
              <a:schemeClr val="accent3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Worksheet!$U$2:$U$9</c:f>
              <c:strCache>
                <c:ptCount val="8"/>
                <c:pt idx="0">
                  <c:v>Linear Discriminant Analysis</c:v>
                </c:pt>
                <c:pt idx="1">
                  <c:v>Logistic Regression</c:v>
                </c:pt>
                <c:pt idx="2">
                  <c:v>Decision Tree</c:v>
                </c:pt>
                <c:pt idx="3">
                  <c:v>Random Forest</c:v>
                </c:pt>
                <c:pt idx="4">
                  <c:v>k-Nearest Neighbors</c:v>
                </c:pt>
                <c:pt idx="5">
                  <c:v>Naive Bayes</c:v>
                </c:pt>
                <c:pt idx="6">
                  <c:v>Support Vector Machine</c:v>
                </c:pt>
                <c:pt idx="7">
                  <c:v>Gradient Boosting</c:v>
                </c:pt>
              </c:strCache>
            </c:strRef>
          </c:cat>
          <c:val>
            <c:numRef>
              <c:f>Worksheet!$V$2:$V$9</c:f>
              <c:numCache>
                <c:formatCode>0.00%</c:formatCode>
                <c:ptCount val="8"/>
                <c:pt idx="0">
                  <c:v>0.98521491167348896</c:v>
                </c:pt>
                <c:pt idx="1">
                  <c:v>0.98516787648576576</c:v>
                </c:pt>
                <c:pt idx="2">
                  <c:v>0.98514561683492352</c:v>
                </c:pt>
                <c:pt idx="3">
                  <c:v>0.98585321858037345</c:v>
                </c:pt>
                <c:pt idx="4">
                  <c:v>0.98630701963697154</c:v>
                </c:pt>
                <c:pt idx="5">
                  <c:v>0.98438079789064392</c:v>
                </c:pt>
                <c:pt idx="6">
                  <c:v>0.98396442842723197</c:v>
                </c:pt>
                <c:pt idx="7">
                  <c:v>0.98698928151341681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8-49F2-8EF7-5989BDBC41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7418048"/>
        <c:axId val="117420960"/>
      </c:barChart>
      <c:catAx>
        <c:axId val="11741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20960"/>
        <c:crosses val="autoZero"/>
        <c:auto val="1"/>
        <c:lblAlgn val="ctr"/>
        <c:lblOffset val="100"/>
        <c:noMultiLvlLbl val="0"/>
      </c:catAx>
      <c:valAx>
        <c:axId val="117420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1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3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Worksheet!$W$1</c:f>
              <c:strCache>
                <c:ptCount val="1"/>
                <c:pt idx="0">
                  <c:v>Average Recall Negative 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Worksheet!$U$2:$U$9</c:f>
              <c:strCache>
                <c:ptCount val="8"/>
                <c:pt idx="0">
                  <c:v>Linear Discriminant Analysis</c:v>
                </c:pt>
                <c:pt idx="1">
                  <c:v>Logistic Regression</c:v>
                </c:pt>
                <c:pt idx="2">
                  <c:v>Decision Tree</c:v>
                </c:pt>
                <c:pt idx="3">
                  <c:v>Random Forest</c:v>
                </c:pt>
                <c:pt idx="4">
                  <c:v>k-Nearest Neighbors</c:v>
                </c:pt>
                <c:pt idx="5">
                  <c:v>Naive Bayes</c:v>
                </c:pt>
                <c:pt idx="6">
                  <c:v>Support Vector Machine</c:v>
                </c:pt>
                <c:pt idx="7">
                  <c:v>Gradient Boosting</c:v>
                </c:pt>
              </c:strCache>
            </c:strRef>
          </c:cat>
          <c:val>
            <c:numRef>
              <c:f>Worksheet!$W$2:$W$9</c:f>
              <c:numCache>
                <c:formatCode>0.00%</c:formatCode>
                <c:ptCount val="8"/>
                <c:pt idx="0">
                  <c:v>0.12088175252791958</c:v>
                </c:pt>
                <c:pt idx="1">
                  <c:v>0.11685395844404449</c:v>
                </c:pt>
                <c:pt idx="2">
                  <c:v>5.7777104946823282E-2</c:v>
                </c:pt>
                <c:pt idx="3">
                  <c:v>0.1248935704845405</c:v>
                </c:pt>
                <c:pt idx="4">
                  <c:v>9.5215154250206366E-2</c:v>
                </c:pt>
                <c:pt idx="5">
                  <c:v>7.7049059294796413E-2</c:v>
                </c:pt>
                <c:pt idx="6">
                  <c:v>0.13088411154728621</c:v>
                </c:pt>
                <c:pt idx="7">
                  <c:v>0.11848267221702266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5-42D2-B538-71C60C993D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17866080"/>
        <c:axId val="1617876064"/>
      </c:barChart>
      <c:catAx>
        <c:axId val="161786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876064"/>
        <c:crosses val="autoZero"/>
        <c:auto val="1"/>
        <c:lblAlgn val="ctr"/>
        <c:lblOffset val="100"/>
        <c:noMultiLvlLbl val="0"/>
      </c:catAx>
      <c:valAx>
        <c:axId val="1617876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86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200024</xdr:colOff>
      <xdr:row>0</xdr:row>
      <xdr:rowOff>101600</xdr:rowOff>
    </xdr:from>
    <xdr:to>
      <xdr:col>14</xdr:col>
      <xdr:colOff>0</xdr:colOff>
      <xdr:row>23</xdr:row>
      <xdr:rowOff>56987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104358</xdr:colOff>
      <xdr:row>0</xdr:row>
      <xdr:rowOff>96865</xdr:rowOff>
    </xdr:from>
    <xdr:to>
      <xdr:col>24</xdr:col>
      <xdr:colOff>107627</xdr:colOff>
      <xdr:row>23</xdr:row>
      <xdr:rowOff>64577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755</xdr:colOff>
      <xdr:row>11</xdr:row>
      <xdr:rowOff>174322</xdr:rowOff>
    </xdr:from>
    <xdr:to>
      <xdr:col>22</xdr:col>
      <xdr:colOff>1352398</xdr:colOff>
      <xdr:row>27</xdr:row>
      <xdr:rowOff>14665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605517</xdr:colOff>
      <xdr:row>28</xdr:row>
      <xdr:rowOff>15571</xdr:rowOff>
    </xdr:from>
    <xdr:to>
      <xdr:col>22</xdr:col>
      <xdr:colOff>1344839</xdr:colOff>
      <xdr:row>43</xdr:row>
      <xdr:rowOff>37343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629.986294097223" createdVersion="6" refreshedVersion="6" minRefreshableVersion="3" recordCount="64">
  <cacheSource type="worksheet">
    <worksheetSource ref="A1:S65" sheet="Worksheet"/>
  </cacheSource>
  <cacheFields count="18">
    <cacheField name="Classifier" numFmtId="0">
      <sharedItems count="8">
        <s v="Linear Discriminant Analysis"/>
        <s v="Logistic Regression"/>
        <s v="Decision Tree"/>
        <s v="Random Forest"/>
        <s v="k-Nearest Neighbors"/>
        <s v="Naive Bayes"/>
        <s v="Support Vector Machine"/>
        <s v="Gradient Boosting"/>
      </sharedItems>
    </cacheField>
    <cacheField name="Set" numFmtId="0">
      <sharedItems count="2">
        <s v="Train"/>
        <s v="Test"/>
      </sharedItems>
    </cacheField>
    <cacheField name="Balanced Set" numFmtId="0">
      <sharedItems/>
    </cacheField>
    <cacheField name="Training Samples" numFmtId="0">
      <sharedItems containsSemiMixedTypes="0" containsString="0" containsNumber="1" containsInteger="1" minValue="744" maxValue="2679"/>
    </cacheField>
    <cacheField name="Non-healthy Training" numFmtId="0">
      <sharedItems containsSemiMixedTypes="0" containsString="0" containsNumber="1" containsInteger="1" minValue="186" maxValue="186"/>
    </cacheField>
    <cacheField name="TP" numFmtId="0">
      <sharedItems containsSemiMixedTypes="0" containsString="0" containsNumber="1" containsInteger="1" minValue="492" maxValue="2504"/>
    </cacheField>
    <cacheField name="TN" numFmtId="0">
      <sharedItems containsSemiMixedTypes="0" containsString="0" containsNumber="1" containsInteger="1" minValue="18" maxValue="186"/>
    </cacheField>
    <cacheField name="FP" numFmtId="0">
      <sharedItems containsSemiMixedTypes="0" containsString="0" containsNumber="1" containsInteger="1" minValue="0" maxValue="531"/>
    </cacheField>
    <cacheField name="FN" numFmtId="0">
      <sharedItems containsSemiMixedTypes="0" containsString="0" containsNumber="1" containsInteger="1" minValue="0" maxValue="139"/>
    </cacheField>
    <cacheField name="ROC-AUC" numFmtId="0">
      <sharedItems containsSemiMixedTypes="0" containsString="0" containsNumber="1" minValue="0.61139324762409997" maxValue="1"/>
    </cacheField>
    <cacheField name="P" numFmtId="0">
      <sharedItems containsSemiMixedTypes="0" containsString="0" containsNumber="1" containsInteger="1" minValue="558" maxValue="2542"/>
    </cacheField>
    <cacheField name="N" numFmtId="0">
      <sharedItems containsSemiMixedTypes="0" containsString="0" containsNumber="1" containsInteger="1" minValue="64" maxValue="567"/>
    </cacheField>
    <cacheField name="Accuracy " numFmtId="0">
      <sharedItems containsSemiMixedTypes="0" containsString="0" containsNumber="1" minValue="0.76478494623655913" maxValue="1"/>
    </cacheField>
    <cacheField name="Precision" numFmtId="0">
      <sharedItems containsSemiMixedTypes="0" containsString="0" containsNumber="1" minValue="0.79709591134887281" maxValue="1"/>
    </cacheField>
    <cacheField name="Recall" numFmtId="0">
      <sharedItems containsSemiMixedTypes="0" containsString="0" containsNumber="1" minValue="0.7955882352941176" maxValue="1"/>
    </cacheField>
    <cacheField name="F1 score" numFmtId="0">
      <sharedItems containsSemiMixedTypes="0" containsString="0" containsNumber="1" minValue="0.84900776531492661" maxValue="1"/>
    </cacheField>
    <cacheField name="Μετρική 1: Cohen's KAPPA" numFmtId="0">
      <sharedItems containsSemiMixedTypes="0" containsString="0" containsNumber="1" minValue="5.4519074436605058E-2" maxValue="1"/>
    </cacheField>
    <cacheField name="Μετρική 2: MCC" numFmtId="0">
      <sharedItems containsSemiMixedTypes="0" containsString="0" containsNumber="1" minValue="8.9288110676304211E-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s v="Balanced"/>
    <n v="744"/>
    <n v="186"/>
    <n v="530"/>
    <n v="80"/>
    <n v="28"/>
    <n v="106"/>
    <n v="0.84326704435966005"/>
    <n v="636"/>
    <n v="108"/>
    <n v="0.81989247311827962"/>
    <n v="0.94982078853046592"/>
    <n v="0.83333333333333337"/>
    <n v="0.88777219430485765"/>
    <n v="0.44166666666666665"/>
    <n v="0.46701926714512931"/>
  </r>
  <r>
    <x v="0"/>
    <x v="1"/>
    <s v="Balanced"/>
    <n v="2679"/>
    <n v="186"/>
    <n v="2417"/>
    <n v="28"/>
    <n v="200"/>
    <n v="34"/>
    <n v="0.82611214515512998"/>
    <n v="2451"/>
    <n v="228"/>
    <n v="0.91265397536394177"/>
    <n v="0.92357661444401984"/>
    <n v="0.98612811097511222"/>
    <n v="0.9538279400157853"/>
    <n v="0.1626313385107355"/>
    <n v="0.20216656085103091"/>
  </r>
  <r>
    <x v="1"/>
    <x v="0"/>
    <s v="Balanced"/>
    <n v="744"/>
    <n v="186"/>
    <n v="528"/>
    <n v="80"/>
    <n v="30"/>
    <n v="106"/>
    <n v="0.84373916059660004"/>
    <n v="634"/>
    <n v="110"/>
    <n v="0.81720430107526887"/>
    <n v="0.94623655913978499"/>
    <n v="0.83280757097791802"/>
    <n v="0.88590604026845643"/>
    <n v="0.43568464730290457"/>
    <n v="0.45911099741107403"/>
  </r>
  <r>
    <x v="1"/>
    <x v="1"/>
    <s v="Balanced"/>
    <n v="2679"/>
    <n v="186"/>
    <n v="2412"/>
    <n v="26"/>
    <n v="205"/>
    <n v="36"/>
    <n v="0.82840484672181003"/>
    <n v="2448"/>
    <n v="231"/>
    <n v="0.9100410600970511"/>
    <n v="0.92166602980512036"/>
    <n v="0.98529411764705888"/>
    <n v="0.95241855873642645"/>
    <n v="0.14632230732920537"/>
    <n v="0.18266988926979544"/>
  </r>
  <r>
    <x v="2"/>
    <x v="0"/>
    <s v="Balanced"/>
    <n v="744"/>
    <n v="186"/>
    <n v="558"/>
    <n v="186"/>
    <n v="0"/>
    <n v="0"/>
    <n v="1"/>
    <n v="558"/>
    <n v="186"/>
    <n v="1"/>
    <n v="1"/>
    <n v="1"/>
    <n v="1"/>
    <n v="1"/>
    <n v="1"/>
  </r>
  <r>
    <x v="2"/>
    <x v="1"/>
    <s v="Balanced"/>
    <n v="2679"/>
    <n v="186"/>
    <n v="2086"/>
    <n v="36"/>
    <n v="531"/>
    <n v="26"/>
    <n v="0.68887053631960005"/>
    <n v="2112"/>
    <n v="567"/>
    <n v="0.792086599477417"/>
    <n v="0.79709591134887281"/>
    <n v="0.98768939393939392"/>
    <n v="0.88221611334320149"/>
    <n v="7.5911128616043141E-2"/>
    <n v="0.13904437647526793"/>
  </r>
  <r>
    <x v="3"/>
    <x v="0"/>
    <s v="Balanced"/>
    <n v="744"/>
    <n v="186"/>
    <n v="558"/>
    <n v="186"/>
    <n v="0"/>
    <n v="0"/>
    <n v="1"/>
    <n v="558"/>
    <n v="186"/>
    <n v="1"/>
    <n v="1"/>
    <n v="1"/>
    <n v="1"/>
    <n v="1"/>
    <n v="1"/>
  </r>
  <r>
    <x v="3"/>
    <x v="1"/>
    <s v="Balanced"/>
    <n v="2679"/>
    <n v="186"/>
    <n v="2391"/>
    <n v="28"/>
    <n v="226"/>
    <n v="34"/>
    <n v="0.82415225510618995"/>
    <n v="2425"/>
    <n v="254"/>
    <n v="0.90294886151549081"/>
    <n v="0.91364157432174242"/>
    <n v="0.985979381443299"/>
    <n v="0.94843316144387146"/>
    <n v="0.14542099554883764"/>
    <n v="0.18746514185217614"/>
  </r>
  <r>
    <x v="4"/>
    <x v="0"/>
    <s v="Balanced"/>
    <n v="744"/>
    <n v="186"/>
    <n v="520"/>
    <n v="111"/>
    <n v="38"/>
    <n v="75"/>
    <n v="0.90870813581531995"/>
    <n v="595"/>
    <n v="149"/>
    <n v="0.8481182795698925"/>
    <n v="0.93189964157706096"/>
    <n v="0.87394957983193278"/>
    <n v="0.90199479618386813"/>
    <n v="0.56621880998080609"/>
    <n v="0.57201810057576874"/>
  </r>
  <r>
    <x v="4"/>
    <x v="1"/>
    <s v="Balanced"/>
    <n v="2679"/>
    <n v="186"/>
    <n v="2335"/>
    <n v="28"/>
    <n v="282"/>
    <n v="34"/>
    <n v="0.74363960210533997"/>
    <n v="2369"/>
    <n v="310"/>
    <n v="0.88204553938036578"/>
    <n v="0.892243026366068"/>
    <n v="0.98564795272266781"/>
    <n v="0.93662254312073812"/>
    <n v="0.1164580002254349"/>
    <n v="0.16162585923293768"/>
  </r>
  <r>
    <x v="5"/>
    <x v="0"/>
    <s v="Balanced"/>
    <n v="744"/>
    <n v="186"/>
    <n v="510"/>
    <n v="80"/>
    <n v="48"/>
    <n v="106"/>
    <n v="0.81560488688480004"/>
    <n v="616"/>
    <n v="128"/>
    <n v="0.793010752688172"/>
    <n v="0.91397849462365588"/>
    <n v="0.82792207792207795"/>
    <n v="0.868824531516184"/>
    <n v="0.38400000000000001"/>
    <n v="0.39477101697586142"/>
  </r>
  <r>
    <x v="5"/>
    <x v="1"/>
    <s v="Balanced"/>
    <n v="2679"/>
    <n v="186"/>
    <n v="2341"/>
    <n v="23"/>
    <n v="276"/>
    <n v="39"/>
    <n v="0.79703427958633"/>
    <n v="2380"/>
    <n v="299"/>
    <n v="0.88241881298992164"/>
    <n v="0.89453572793274738"/>
    <n v="0.98361344537815121"/>
    <n v="0.93696217730638387"/>
    <n v="9.2638727456687484E-2"/>
    <n v="0.12677798201869142"/>
  </r>
  <r>
    <x v="6"/>
    <x v="0"/>
    <s v="Balanced"/>
    <n v="744"/>
    <n v="186"/>
    <n v="532"/>
    <n v="76"/>
    <n v="26"/>
    <n v="110"/>
    <n v="0.84376806567232998"/>
    <n v="642"/>
    <n v="102"/>
    <n v="0.81720430107526887"/>
    <n v="0.95340501792114696"/>
    <n v="0.82866043613707163"/>
    <n v="0.88666666666666671"/>
    <n v="0.42616033755274263"/>
    <n v="0.4557462902116477"/>
  </r>
  <r>
    <x v="6"/>
    <x v="1"/>
    <s v="Balanced"/>
    <n v="2679"/>
    <n v="186"/>
    <n v="2446"/>
    <n v="26"/>
    <n v="171"/>
    <n v="36"/>
    <n v="0.82484869402295002"/>
    <n v="2482"/>
    <n v="197"/>
    <n v="0.92273236282194848"/>
    <n v="0.93465800534963694"/>
    <n v="0.98549556809024985"/>
    <n v="0.95940380466758191"/>
    <n v="0.1716079129651511"/>
    <n v="0.20393075331087807"/>
  </r>
  <r>
    <x v="7"/>
    <x v="0"/>
    <s v="Balanced"/>
    <n v="744"/>
    <n v="186"/>
    <n v="551"/>
    <n v="152"/>
    <n v="7"/>
    <n v="34"/>
    <n v="0.99106833159902996"/>
    <n v="585"/>
    <n v="159"/>
    <n v="0.94489247311827962"/>
    <n v="0.98745519713261654"/>
    <n v="0.94188034188034186"/>
    <n v="0.96412948381452324"/>
    <n v="0.84557438794726936"/>
    <n v="0.84998100116527087"/>
  </r>
  <r>
    <x v="7"/>
    <x v="1"/>
    <s v="Balanced"/>
    <n v="2679"/>
    <n v="186"/>
    <n v="2350"/>
    <n v="32"/>
    <n v="267"/>
    <n v="30"/>
    <n v="0.81242064910571998"/>
    <n v="2380"/>
    <n v="299"/>
    <n v="0.88913773796192608"/>
    <n v="0.89797478028276656"/>
    <n v="0.98739495798319332"/>
    <n v="0.94056433860316191"/>
    <n v="0.14448794303059107"/>
    <n v="0.19773468770946115"/>
  </r>
  <r>
    <x v="0"/>
    <x v="0"/>
    <s v="Balanced"/>
    <n v="744"/>
    <n v="186"/>
    <n v="524"/>
    <n v="63"/>
    <n v="34"/>
    <n v="123"/>
    <n v="0.80751146568003995"/>
    <n v="647"/>
    <n v="97"/>
    <n v="0.78897849462365588"/>
    <n v="0.93906810035842292"/>
    <n v="0.80989180834621333"/>
    <n v="0.86970954356846475"/>
    <n v="0.33049040511727079"/>
    <n v="0.35721777687998657"/>
  </r>
  <r>
    <x v="0"/>
    <x v="1"/>
    <s v="Balanced"/>
    <n v="2679"/>
    <n v="186"/>
    <n v="2441"/>
    <n v="31"/>
    <n v="176"/>
    <n v="31"/>
    <n v="0.87391374018514001"/>
    <n v="2472"/>
    <n v="207"/>
    <n v="0.92273236282194848"/>
    <n v="0.93274742071073746"/>
    <n v="0.98745954692556637"/>
    <n v="0.95932403222637064"/>
    <n v="0.20206249649271996"/>
    <n v="0.24368162840397897"/>
  </r>
  <r>
    <x v="1"/>
    <x v="0"/>
    <s v="Balanced"/>
    <n v="744"/>
    <n v="186"/>
    <n v="524"/>
    <n v="69"/>
    <n v="34"/>
    <n v="117"/>
    <n v="0.80771380121016001"/>
    <n v="641"/>
    <n v="103"/>
    <n v="0.79704301075268813"/>
    <n v="0.93906810035842292"/>
    <n v="0.81747269890795626"/>
    <n v="0.87406171809841537"/>
    <n v="0.36421052631578948"/>
    <n v="0.388720861588363"/>
  </r>
  <r>
    <x v="1"/>
    <x v="1"/>
    <s v="Balanced"/>
    <n v="2679"/>
    <n v="186"/>
    <n v="2435"/>
    <n v="33"/>
    <n v="182"/>
    <n v="29"/>
    <n v="0.86663502902856004"/>
    <n v="2464"/>
    <n v="215"/>
    <n v="0.92123926838372527"/>
    <n v="0.93045471914405808"/>
    <n v="0.98823051948051943"/>
    <n v="0.95847274158630191"/>
    <n v="0.20988142679226135"/>
    <n v="0.25607643940282793"/>
  </r>
  <r>
    <x v="2"/>
    <x v="0"/>
    <s v="Balanced"/>
    <n v="744"/>
    <n v="186"/>
    <n v="558"/>
    <n v="186"/>
    <n v="0"/>
    <n v="0"/>
    <n v="1"/>
    <n v="558"/>
    <n v="186"/>
    <n v="1"/>
    <n v="1"/>
    <n v="1"/>
    <n v="1"/>
    <n v="1"/>
    <n v="1"/>
  </r>
  <r>
    <x v="2"/>
    <x v="1"/>
    <s v="Balanced"/>
    <n v="2679"/>
    <n v="186"/>
    <n v="2114"/>
    <n v="30"/>
    <n v="503"/>
    <n v="32"/>
    <n v="0.64583307653431998"/>
    <n v="2146"/>
    <n v="533"/>
    <n v="0.80029861888764464"/>
    <n v="0.80779518532671002"/>
    <n v="0.98508853681267472"/>
    <n v="0.88767583455805166"/>
    <n v="6.1945935403390114E-2"/>
    <n v="0.1098513190932239"/>
  </r>
  <r>
    <x v="3"/>
    <x v="0"/>
    <s v="Balanced"/>
    <n v="744"/>
    <n v="186"/>
    <n v="558"/>
    <n v="186"/>
    <n v="0"/>
    <n v="0"/>
    <n v="1"/>
    <n v="558"/>
    <n v="186"/>
    <n v="1"/>
    <n v="1"/>
    <n v="1"/>
    <n v="1"/>
    <n v="1"/>
    <n v="1"/>
  </r>
  <r>
    <x v="3"/>
    <x v="1"/>
    <s v="Balanced"/>
    <n v="2679"/>
    <n v="186"/>
    <n v="2460"/>
    <n v="31"/>
    <n v="157"/>
    <n v="31"/>
    <n v="0.87214799018821998"/>
    <n v="2491"/>
    <n v="188"/>
    <n v="0.92982456140350878"/>
    <n v="0.9400076423385556"/>
    <n v="0.98755519871537534"/>
    <n v="0.96319498825371963"/>
    <n v="0.22088119819688817"/>
    <n v="0.25899545167741678"/>
  </r>
  <r>
    <x v="4"/>
    <x v="0"/>
    <s v="Balanced"/>
    <n v="744"/>
    <n v="186"/>
    <n v="522"/>
    <n v="99"/>
    <n v="36"/>
    <n v="87"/>
    <n v="0.88463984275638996"/>
    <n v="609"/>
    <n v="135"/>
    <n v="0.83467741935483875"/>
    <n v="0.93548387096774188"/>
    <n v="0.8571428571428571"/>
    <n v="0.8946015424164524"/>
    <n v="0.51479289940828399"/>
    <n v="0.52553827281224363"/>
  </r>
  <r>
    <x v="4"/>
    <x v="1"/>
    <s v="Balanced"/>
    <n v="2679"/>
    <n v="186"/>
    <n v="2318"/>
    <n v="36"/>
    <n v="299"/>
    <n v="26"/>
    <n v="0.81423262292455001"/>
    <n v="2344"/>
    <n v="335"/>
    <n v="0.87868607689436362"/>
    <n v="0.88574703859380965"/>
    <n v="0.98890784982935154"/>
    <n v="0.93448901431163067"/>
    <n v="0.14808668689452195"/>
    <n v="0.21200581707581706"/>
  </r>
  <r>
    <x v="5"/>
    <x v="0"/>
    <s v="Balanced"/>
    <n v="744"/>
    <n v="186"/>
    <n v="498"/>
    <n v="77"/>
    <n v="60"/>
    <n v="109"/>
    <n v="0.79171002428026005"/>
    <n v="607"/>
    <n v="137"/>
    <n v="0.77284946236559138"/>
    <n v="0.89247311827956988"/>
    <n v="0.82042833607907739"/>
    <n v="0.85493562231759657"/>
    <n v="0.33595284872298625"/>
    <n v="0.34235829426180325"/>
  </r>
  <r>
    <x v="5"/>
    <x v="1"/>
    <s v="Balanced"/>
    <n v="2679"/>
    <n v="186"/>
    <n v="2299"/>
    <n v="31"/>
    <n v="318"/>
    <n v="31"/>
    <n v="0.83559727341083001"/>
    <n v="2330"/>
    <n v="349"/>
    <n v="0.86972751026502426"/>
    <n v="0.87848681696599162"/>
    <n v="0.98669527896995712"/>
    <n v="0.92945219324843342"/>
    <n v="0.11611156436089103"/>
    <n v="0.1690665884804898"/>
  </r>
  <r>
    <x v="6"/>
    <x v="0"/>
    <s v="Balanced"/>
    <n v="744"/>
    <n v="186"/>
    <n v="541"/>
    <n v="47"/>
    <n v="17"/>
    <n v="139"/>
    <n v="0.80650942305468998"/>
    <n v="680"/>
    <n v="64"/>
    <n v="0.79032258064516125"/>
    <n v="0.96953405017921146"/>
    <n v="0.7955882352941176"/>
    <n v="0.87399030694668822"/>
    <n v="0.28440366972477066"/>
    <n v="0.34317576814678691"/>
  </r>
  <r>
    <x v="6"/>
    <x v="1"/>
    <s v="Balanced"/>
    <n v="2679"/>
    <n v="186"/>
    <n v="2504"/>
    <n v="24"/>
    <n v="113"/>
    <n v="38"/>
    <n v="0.86557496271278"/>
    <n v="2542"/>
    <n v="137"/>
    <n v="0.94363568495707351"/>
    <n v="0.95682078716087127"/>
    <n v="0.98505114083398904"/>
    <n v="0.97073076177553785"/>
    <n v="0.21623108772351313"/>
    <n v="0.23474913573152412"/>
  </r>
  <r>
    <x v="7"/>
    <x v="0"/>
    <s v="Balanced"/>
    <n v="744"/>
    <n v="186"/>
    <n v="554"/>
    <n v="144"/>
    <n v="4"/>
    <n v="42"/>
    <n v="0.98363009211083996"/>
    <n v="596"/>
    <n v="148"/>
    <n v="0.93817204301075274"/>
    <n v="0.99283154121863804"/>
    <n v="0.92953020134228193"/>
    <n v="0.96013864818024264"/>
    <n v="0.82307692307692304"/>
    <n v="0.83201116467786562"/>
  </r>
  <r>
    <x v="7"/>
    <x v="1"/>
    <s v="Balanced"/>
    <n v="2679"/>
    <n v="186"/>
    <n v="2423"/>
    <n v="35"/>
    <n v="194"/>
    <n v="27"/>
    <n v="0.86139632921221998"/>
    <n v="2450"/>
    <n v="229"/>
    <n v="0.91750653228816725"/>
    <n v="0.92586931601069933"/>
    <n v="0.98897959183673467"/>
    <n v="0.95638444839155323"/>
    <n v="0.21184169714041531"/>
    <n v="0.26371479432722583"/>
  </r>
  <r>
    <x v="0"/>
    <x v="0"/>
    <s v="Balanced"/>
    <n v="744"/>
    <n v="186"/>
    <n v="520"/>
    <n v="73"/>
    <n v="38"/>
    <n v="113"/>
    <n v="0.83851697691448002"/>
    <n v="633"/>
    <n v="111"/>
    <n v="0.79704301075268813"/>
    <n v="0.93189964157706096"/>
    <n v="0.82148499210110582"/>
    <n v="0.87321578505457598"/>
    <n v="0.37474120082815737"/>
    <n v="0.39423447802959749"/>
  </r>
  <r>
    <x v="0"/>
    <x v="1"/>
    <s v="Balanced"/>
    <n v="2679"/>
    <n v="186"/>
    <n v="2430"/>
    <n v="21"/>
    <n v="187"/>
    <n v="41"/>
    <n v="0.76204592798945003"/>
    <n v="2471"/>
    <n v="208"/>
    <n v="0.91489361702127658"/>
    <n v="0.9285441345051586"/>
    <n v="0.98340752731687575"/>
    <n v="0.95518867924528306"/>
    <n v="0.12433157763448013"/>
    <n v="0.15015976304520201"/>
  </r>
  <r>
    <x v="1"/>
    <x v="0"/>
    <s v="Balanced"/>
    <n v="744"/>
    <n v="186"/>
    <n v="522"/>
    <n v="75"/>
    <n v="36"/>
    <n v="111"/>
    <n v="0.84010675607969998"/>
    <n v="633"/>
    <n v="111"/>
    <n v="0.80241935483870963"/>
    <n v="0.93548387096774188"/>
    <n v="0.82464454976303314"/>
    <n v="0.87657430730478592"/>
    <n v="0.39130434782608697"/>
    <n v="0.4116592063402979"/>
  </r>
  <r>
    <x v="1"/>
    <x v="1"/>
    <s v="Balanced"/>
    <n v="2679"/>
    <n v="186"/>
    <n v="2424"/>
    <n v="20"/>
    <n v="193"/>
    <n v="42"/>
    <n v="0.76346345852799002"/>
    <n v="2466"/>
    <n v="213"/>
    <n v="0.91228070175438591"/>
    <n v="0.92625143293847922"/>
    <n v="0.98296836982968372"/>
    <n v="0.95376746016132208"/>
    <n v="0.11367946243416635"/>
    <n v="0.13829858439933024"/>
  </r>
  <r>
    <x v="2"/>
    <x v="0"/>
    <s v="Balanced"/>
    <n v="744"/>
    <n v="186"/>
    <n v="558"/>
    <n v="186"/>
    <n v="0"/>
    <n v="0"/>
    <n v="1"/>
    <n v="558"/>
    <n v="186"/>
    <n v="1"/>
    <n v="1"/>
    <n v="1"/>
    <n v="1"/>
    <n v="1"/>
    <n v="1"/>
  </r>
  <r>
    <x v="2"/>
    <x v="1"/>
    <s v="Balanced"/>
    <n v="2679"/>
    <n v="186"/>
    <n v="2187"/>
    <n v="24"/>
    <n v="430"/>
    <n v="38"/>
    <n v="0.61139324762409997"/>
    <n v="2225"/>
    <n v="454"/>
    <n v="0.82530795072788354"/>
    <n v="0.83568972105464268"/>
    <n v="0.98292134831460676"/>
    <n v="0.90334572490706322"/>
    <n v="5.4519074436605058E-2"/>
    <n v="8.9288110676304211E-2"/>
  </r>
  <r>
    <x v="3"/>
    <x v="0"/>
    <s v="Balanced"/>
    <n v="744"/>
    <n v="186"/>
    <n v="558"/>
    <n v="186"/>
    <n v="0"/>
    <n v="0"/>
    <n v="1"/>
    <n v="558"/>
    <n v="186"/>
    <n v="1"/>
    <n v="1"/>
    <n v="1"/>
    <n v="1"/>
    <n v="1"/>
    <n v="1"/>
  </r>
  <r>
    <x v="3"/>
    <x v="1"/>
    <s v="Balanced"/>
    <n v="2679"/>
    <n v="186"/>
    <n v="2419"/>
    <n v="22"/>
    <n v="198"/>
    <n v="40"/>
    <n v="0.75128810383719002"/>
    <n v="2459"/>
    <n v="220"/>
    <n v="0.91116088092571856"/>
    <n v="0.92434084829957963"/>
    <n v="0.98373322488816595"/>
    <n v="0.95311268715524033"/>
    <n v="0.12441121782811818"/>
    <n v="0.15289409639442206"/>
  </r>
  <r>
    <x v="4"/>
    <x v="0"/>
    <s v="Balanced"/>
    <n v="744"/>
    <n v="186"/>
    <n v="525"/>
    <n v="110"/>
    <n v="33"/>
    <n v="76"/>
    <n v="0.91413265502756003"/>
    <n v="601"/>
    <n v="143"/>
    <n v="0.853494623655914"/>
    <n v="0.94086021505376349"/>
    <n v="0.87354409317803661"/>
    <n v="0.90595340811044001"/>
    <n v="0.57669902912621362"/>
    <n v="0.58491204824771059"/>
  </r>
  <r>
    <x v="4"/>
    <x v="1"/>
    <s v="Balanced"/>
    <n v="2679"/>
    <n v="186"/>
    <n v="2355"/>
    <n v="22"/>
    <n v="262"/>
    <n v="40"/>
    <n v="0.69296596694071999"/>
    <n v="2395"/>
    <n v="284"/>
    <n v="0.88727136991414712"/>
    <n v="0.89988536492166604"/>
    <n v="0.98329853862212946"/>
    <n v="0.93974461292897049"/>
    <n v="9.2697467136471395E-2"/>
    <n v="0.12441013756901953"/>
  </r>
  <r>
    <x v="5"/>
    <x v="0"/>
    <s v="Balanced"/>
    <n v="744"/>
    <n v="186"/>
    <n v="492"/>
    <n v="77"/>
    <n v="66"/>
    <n v="109"/>
    <n v="0.80909160982002004"/>
    <n v="601"/>
    <n v="143"/>
    <n v="0.76478494623655913"/>
    <n v="0.88172043010752688"/>
    <n v="0.8186356073211315"/>
    <n v="0.84900776531492661"/>
    <n v="0.32038834951456313"/>
    <n v="0.32495113791539476"/>
  </r>
  <r>
    <x v="5"/>
    <x v="1"/>
    <s v="Balanced"/>
    <n v="2679"/>
    <n v="186"/>
    <n v="2293"/>
    <n v="24"/>
    <n v="324"/>
    <n v="38"/>
    <n v="0.73315295770828004"/>
    <n v="2331"/>
    <n v="348"/>
    <n v="0.86487495334079878"/>
    <n v="0.87619411539931213"/>
    <n v="0.98369798369798367"/>
    <n v="0.92683912691996762"/>
    <n v="8.096751633280834E-2"/>
    <n v="0.11775321656498108"/>
  </r>
  <r>
    <x v="6"/>
    <x v="0"/>
    <s v="Balanced"/>
    <n v="744"/>
    <n v="186"/>
    <n v="530"/>
    <n v="65"/>
    <n v="28"/>
    <n v="121"/>
    <n v="0.83990442054958003"/>
    <n v="651"/>
    <n v="93"/>
    <n v="0.79973118279569888"/>
    <n v="0.94982078853046592"/>
    <n v="0.81413210445468509"/>
    <n v="0.87675765095119929"/>
    <n v="0.35913978494623655"/>
    <n v="0.39185363085387881"/>
  </r>
  <r>
    <x v="6"/>
    <x v="1"/>
    <s v="Balanced"/>
    <n v="2679"/>
    <n v="186"/>
    <n v="2464"/>
    <n v="18"/>
    <n v="153"/>
    <n v="44"/>
    <n v="0.76095504579240003"/>
    <n v="2508"/>
    <n v="171"/>
    <n v="0.9264650989175065"/>
    <n v="0.94153611004967519"/>
    <n v="0.98245614035087714"/>
    <n v="0.96156097560975606"/>
    <n v="0.12477549862936005"/>
    <n v="0.1426130486312453"/>
  </r>
  <r>
    <x v="7"/>
    <x v="0"/>
    <s v="Balanced"/>
    <n v="744"/>
    <n v="186"/>
    <n v="553"/>
    <n v="153"/>
    <n v="5"/>
    <n v="33"/>
    <n v="0.99065884302617002"/>
    <n v="586"/>
    <n v="158"/>
    <n v="0.94892473118279574"/>
    <n v="0.99103942652329746"/>
    <n v="0.94368600682593862"/>
    <n v="0.96678321678321677"/>
    <n v="0.85660377358490569"/>
    <n v="0.86142579825457544"/>
  </r>
  <r>
    <x v="7"/>
    <x v="1"/>
    <s v="Balanced"/>
    <n v="2679"/>
    <n v="186"/>
    <n v="2401"/>
    <n v="21"/>
    <n v="216"/>
    <n v="41"/>
    <n v="0.73075548214527997"/>
    <n v="2442"/>
    <n v="237"/>
    <n v="0.90406868234415827"/>
    <n v="0.9174627435995415"/>
    <n v="0.98321048321048321"/>
    <n v="0.94919944653093502"/>
    <n v="0.10773256198218584"/>
    <n v="0.13563853048411606"/>
  </r>
  <r>
    <x v="0"/>
    <x v="0"/>
    <s v="Balanced"/>
    <n v="744"/>
    <n v="186"/>
    <n v="529"/>
    <n v="78"/>
    <n v="29"/>
    <n v="108"/>
    <n v="0.83033684048251999"/>
    <n v="637"/>
    <n v="107"/>
    <n v="0.81586021505376349"/>
    <n v="0.94802867383512546"/>
    <n v="0.8304552590266876"/>
    <n v="0.88535564853556481"/>
    <n v="0.42797494780793321"/>
    <n v="0.45334792124876083"/>
  </r>
  <r>
    <x v="0"/>
    <x v="1"/>
    <s v="Balanced"/>
    <n v="2679"/>
    <n v="186"/>
    <n v="2439"/>
    <n v="22"/>
    <n v="178"/>
    <n v="40"/>
    <n v="0.82929234410246"/>
    <n v="2479"/>
    <n v="200"/>
    <n v="0.9186263531168346"/>
    <n v="0.93198318685517767"/>
    <n v="0.98386446147640183"/>
    <n v="0.95722135007849296"/>
    <n v="0.13746311464514738"/>
    <n v="0.16408041582611999"/>
  </r>
  <r>
    <x v="1"/>
    <x v="0"/>
    <s v="Balanced"/>
    <n v="744"/>
    <n v="186"/>
    <n v="527"/>
    <n v="77"/>
    <n v="31"/>
    <n v="109"/>
    <n v="0.82921917755425001"/>
    <n v="636"/>
    <n v="108"/>
    <n v="0.81182795698924726"/>
    <n v="0.94444444444444442"/>
    <n v="0.82861635220125784"/>
    <n v="0.88274706867671693"/>
    <n v="0.41666666666666669"/>
    <n v="0.44058421428785782"/>
  </r>
  <r>
    <x v="1"/>
    <x v="1"/>
    <s v="Balanced"/>
    <n v="2679"/>
    <n v="186"/>
    <n v="2426"/>
    <n v="23"/>
    <n v="191"/>
    <n v="39"/>
    <n v="0.83050032664833995"/>
    <n v="2465"/>
    <n v="214"/>
    <n v="0.91414706980216498"/>
    <n v="0.92701566679403902"/>
    <n v="0.98417849898580123"/>
    <n v="0.95474222746950022"/>
    <n v="0.1356464310363209"/>
    <n v="0.1652625468937812"/>
  </r>
  <r>
    <x v="2"/>
    <x v="0"/>
    <s v="Balanced"/>
    <n v="744"/>
    <n v="186"/>
    <n v="558"/>
    <n v="186"/>
    <n v="0"/>
    <n v="0"/>
    <n v="1"/>
    <n v="558"/>
    <n v="186"/>
    <n v="1"/>
    <n v="1"/>
    <n v="1"/>
    <n v="1"/>
    <n v="1"/>
    <n v="1"/>
  </r>
  <r>
    <x v="2"/>
    <x v="1"/>
    <s v="Balanced"/>
    <n v="2679"/>
    <n v="186"/>
    <n v="2150"/>
    <n v="29"/>
    <n v="467"/>
    <n v="33"/>
    <n v="0.64464666510532997"/>
    <n v="2183"/>
    <n v="496"/>
    <n v="0.81336319522209777"/>
    <n v="0.8215513947267864"/>
    <n v="0.98488318827301879"/>
    <n v="0.89583333333333337"/>
    <n v="6.5494238086534054E-2"/>
    <n v="0.11198720894703788"/>
  </r>
  <r>
    <x v="3"/>
    <x v="0"/>
    <s v="Balanced"/>
    <n v="744"/>
    <n v="186"/>
    <n v="558"/>
    <n v="186"/>
    <n v="0"/>
    <n v="0"/>
    <n v="1"/>
    <n v="558"/>
    <n v="186"/>
    <n v="1"/>
    <n v="1"/>
    <n v="1"/>
    <n v="1"/>
    <n v="1"/>
    <n v="1"/>
  </r>
  <r>
    <x v="3"/>
    <x v="1"/>
    <s v="Balanced"/>
    <n v="2679"/>
    <n v="186"/>
    <n v="2420"/>
    <n v="28"/>
    <n v="197"/>
    <n v="34"/>
    <n v="0.84007482095972996"/>
    <n v="2454"/>
    <n v="225"/>
    <n v="0.91377379619260923"/>
    <n v="0.92472296522735953"/>
    <n v="0.98614506927465362"/>
    <n v="0.95444685466377444"/>
    <n v="0.16481572203035738"/>
    <n v="0.20400686431414528"/>
  </r>
  <r>
    <x v="4"/>
    <x v="0"/>
    <s v="Balanced"/>
    <n v="744"/>
    <n v="186"/>
    <n v="526"/>
    <n v="105"/>
    <n v="32"/>
    <n v="81"/>
    <n v="0.90720988938990998"/>
    <n v="607"/>
    <n v="137"/>
    <n v="0.8481182795698925"/>
    <n v="0.94265232974910396"/>
    <n v="0.86655683690280061"/>
    <n v="0.90300429184549358"/>
    <n v="0.55599214145383102"/>
    <n v="0.56659296652684399"/>
  </r>
  <r>
    <x v="4"/>
    <x v="1"/>
    <s v="Balanced"/>
    <n v="2679"/>
    <n v="186"/>
    <n v="2346"/>
    <n v="32"/>
    <n v="271"/>
    <n v="30"/>
    <n v="0.78036288781787"/>
    <n v="2376"/>
    <n v="303"/>
    <n v="0.88764464352370287"/>
    <n v="0.89644631257164697"/>
    <n v="0.98737373737373735"/>
    <n v="0.93971560184257963"/>
    <n v="0.14238994834423985"/>
    <n v="0.19586482325430787"/>
  </r>
  <r>
    <x v="5"/>
    <x v="0"/>
    <s v="Balanced"/>
    <n v="744"/>
    <n v="186"/>
    <n v="497"/>
    <n v="78"/>
    <n v="61"/>
    <n v="108"/>
    <n v="0.79463907195437"/>
    <n v="605"/>
    <n v="139"/>
    <n v="0.77284946236559138"/>
    <n v="0.89068100358422941"/>
    <n v="0.82148760330578507"/>
    <n v="0.85468615649183144"/>
    <n v="0.33855185909980429"/>
    <n v="0.34442953735892584"/>
  </r>
  <r>
    <x v="5"/>
    <x v="1"/>
    <s v="Balanced"/>
    <n v="2679"/>
    <n v="186"/>
    <n v="2327"/>
    <n v="23"/>
    <n v="290"/>
    <n v="39"/>
    <n v="0.82416458145869997"/>
    <n v="2366"/>
    <n v="313"/>
    <n v="0.8771929824561403"/>
    <n v="0.88918609094382883"/>
    <n v="0.98351648351648346"/>
    <n v="0.93397551675697366"/>
    <n v="8.7410295781895672E-2"/>
    <n v="0.12177226831624609"/>
  </r>
  <r>
    <x v="6"/>
    <x v="0"/>
    <s v="Balanced"/>
    <n v="744"/>
    <n v="186"/>
    <n v="532"/>
    <n v="63"/>
    <n v="26"/>
    <n v="123"/>
    <n v="0.82946005318534"/>
    <n v="655"/>
    <n v="89"/>
    <n v="0.79973118279569888"/>
    <n v="0.95340501792114696"/>
    <n v="0.81221374045801531"/>
    <n v="0.87716405605935699"/>
    <n v="0.35357917570498915"/>
    <n v="0.38977261583489786"/>
  </r>
  <r>
    <x v="6"/>
    <x v="1"/>
    <s v="Balanced"/>
    <n v="2679"/>
    <n v="186"/>
    <n v="2465"/>
    <n v="19"/>
    <n v="152"/>
    <n v="43"/>
    <n v="0.82415533669431995"/>
    <n v="2508"/>
    <n v="171"/>
    <n v="0.92721164613661811"/>
    <n v="0.94191822697745509"/>
    <n v="0.98285486443381176"/>
    <n v="0.96195121951219509"/>
    <n v="0.13366102656205692"/>
    <n v="0.15276882633680369"/>
  </r>
  <r>
    <x v="7"/>
    <x v="0"/>
    <s v="Balanced"/>
    <n v="744"/>
    <n v="186"/>
    <n v="553"/>
    <n v="156"/>
    <n v="5"/>
    <n v="30"/>
    <n v="0.99271592091571004"/>
    <n v="583"/>
    <n v="161"/>
    <n v="0.95295698924731187"/>
    <n v="0.99103942652329746"/>
    <n v="0.94854202401372212"/>
    <n v="0.96932515337423308"/>
    <n v="0.86866791744840521"/>
    <n v="0.87251549485658486"/>
  </r>
  <r>
    <x v="7"/>
    <x v="1"/>
    <s v="Balanced"/>
    <n v="2679"/>
    <n v="186"/>
    <n v="2380"/>
    <n v="34"/>
    <n v="237"/>
    <n v="28"/>
    <n v="0.84588053299148003"/>
    <n v="2408"/>
    <n v="271"/>
    <n v="0.90108249346771185"/>
    <n v="0.90943828811616356"/>
    <n v="0.98837209302325579"/>
    <n v="0.94726368159203977"/>
    <n v="0.1730547243282784"/>
    <n v="0.22828884378067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D13" firstHeaderRow="1" firstDataRow="2" firstDataCol="1"/>
  <pivotFields count="18">
    <pivotField axis="axisRow" showAll="0">
      <items count="9">
        <item x="2"/>
        <item x="7"/>
        <item x="4"/>
        <item x="0"/>
        <item x="1"/>
        <item x="5"/>
        <item x="3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ax of F1 score" fld="15" subtotal="max" baseField="0" baseItem="0"/>
  </dataFields>
  <formats count="34"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grandCol="1" outline="0" fieldPosition="0"/>
    </format>
    <format dxfId="28">
      <pivotArea type="origin" dataOnly="0" labelOnly="1" outline="0" fieldPosition="0"/>
    </format>
    <format dxfId="27">
      <pivotArea field="1" type="button" dataOnly="0" labelOnly="1" outline="0" axis="axisCol" fieldPosition="0"/>
    </format>
    <format dxfId="26">
      <pivotArea grandRow="1" outline="0" collapsedLevelsAreSubtotals="1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field="0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Col="1" outline="0" fieldPosition="0"/>
    </format>
    <format dxfId="20">
      <pivotArea collapsedLevelsAreSubtotals="1" fieldPosition="0">
        <references count="1">
          <reference field="0" count="0"/>
        </references>
      </pivotArea>
    </format>
    <format dxfId="19">
      <pivotArea collapsedLevelsAreSubtotals="1" fieldPosition="0">
        <references count="1">
          <reference field="0" count="0"/>
        </references>
      </pivotArea>
    </format>
    <format dxfId="18">
      <pivotArea collapsedLevelsAreSubtotals="1" fieldPosition="0">
        <references count="1">
          <reference field="0" count="0"/>
        </references>
      </pivotArea>
    </format>
    <format dxfId="17">
      <pivotArea collapsedLevelsAreSubtotals="1" fieldPosition="0">
        <references count="1">
          <reference field="0" count="0"/>
        </references>
      </pivotArea>
    </format>
    <format dxfId="16">
      <pivotArea collapsedLevelsAreSubtotals="1" fieldPosition="0">
        <references count="1">
          <reference field="0" count="0"/>
        </references>
      </pivotArea>
    </format>
    <format dxfId="15">
      <pivotArea collapsedLevelsAreSubtotals="1" fieldPosition="0">
        <references count="1">
          <reference field="0" count="0"/>
        </references>
      </pivotArea>
    </format>
    <format dxfId="14">
      <pivotArea collapsedLevelsAreSubtotals="1" fieldPosition="0">
        <references count="1">
          <reference field="0" count="0"/>
        </references>
      </pivotArea>
    </format>
    <format dxfId="13">
      <pivotArea collapsedLevelsAreSubtotals="1" fieldPosition="0">
        <references count="1">
          <reference field="0" count="0"/>
        </references>
      </pivotArea>
    </format>
    <format dxfId="12">
      <pivotArea collapsedLevelsAreSubtotals="1" fieldPosition="0">
        <references count="2">
          <reference field="0" count="1">
            <x v="7"/>
          </reference>
          <reference field="1" count="1" selected="0">
            <x v="0"/>
          </reference>
        </references>
      </pivotArea>
    </format>
    <format dxfId="11">
      <pivotArea collapsedLevelsAreSubtotals="1" fieldPosition="0">
        <references count="2">
          <reference field="0" count="1">
            <x v="7"/>
          </reference>
          <reference field="1" count="1" selected="0">
            <x v="0"/>
          </reference>
        </references>
      </pivotArea>
    </format>
    <format dxfId="10">
      <pivotArea collapsedLevelsAreSubtotals="1" fieldPosition="0">
        <references count="2">
          <reference field="0" count="1">
            <x v="7"/>
          </reference>
          <reference field="1" count="1" selected="0">
            <x v="0"/>
          </reference>
        </references>
      </pivotArea>
    </format>
    <format dxfId="9">
      <pivotArea collapsedLevelsAreSubtotals="1" fieldPosition="0">
        <references count="2">
          <reference field="0" count="1">
            <x v="7"/>
          </reference>
          <reference field="1" count="1" selected="0">
            <x v="0"/>
          </reference>
        </references>
      </pivotArea>
    </format>
    <format dxfId="8">
      <pivotArea collapsedLevelsAreSubtotals="1" fieldPosition="0">
        <references count="2">
          <reference field="0" count="1">
            <x v="7"/>
          </reference>
          <reference field="1" count="1" selected="0">
            <x v="0"/>
          </reference>
        </references>
      </pivotArea>
    </format>
    <format dxfId="7">
      <pivotArea collapsedLevelsAreSubtotals="1" fieldPosition="0">
        <references count="2">
          <reference field="0" count="1">
            <x v="7"/>
          </reference>
          <reference field="1" count="1" selected="0">
            <x v="0"/>
          </reference>
        </references>
      </pivotArea>
    </format>
    <format dxfId="6">
      <pivotArea collapsedLevelsAreSubtotals="1" fieldPosition="0">
        <references count="2">
          <reference field="0" count="1">
            <x v="7"/>
          </reference>
          <reference field="1" count="1" selected="0">
            <x v="0"/>
          </reference>
        </references>
      </pivotArea>
    </format>
    <format dxfId="5">
      <pivotArea collapsedLevelsAreSubtotals="1" fieldPosition="0">
        <references count="2">
          <reference field="0" count="1">
            <x v="7"/>
          </reference>
          <reference field="1" count="1" selected="0">
            <x v="0"/>
          </reference>
        </references>
      </pivotArea>
    </format>
    <format dxfId="4">
      <pivotArea collapsedLevelsAreSubtotals="1" fieldPosition="0">
        <references count="2">
          <reference field="0" count="1">
            <x v="7"/>
          </reference>
          <reference field="1" count="1" selected="0">
            <x v="0"/>
          </reference>
        </references>
      </pivotArea>
    </format>
    <format dxfId="3">
      <pivotArea collapsedLevelsAreSubtotals="1" fieldPosition="0">
        <references count="2">
          <reference field="0" count="1">
            <x v="7"/>
          </reference>
          <reference field="1" count="1" selected="0">
            <x v="0"/>
          </reference>
        </references>
      </pivotArea>
    </format>
    <format dxfId="2">
      <pivotArea collapsedLevelsAreSubtotals="1" fieldPosition="0">
        <references count="2">
          <reference field="0" count="1">
            <x v="7"/>
          </reference>
          <reference field="1" count="1" selected="0">
            <x v="0"/>
          </reference>
        </references>
      </pivotArea>
    </format>
    <format dxfId="1">
      <pivotArea collapsedLevelsAreSubtotals="1" fieldPosition="0">
        <references count="2">
          <reference field="0" count="1">
            <x v="7"/>
          </reference>
          <reference field="1" count="1" selected="0">
            <x v="0"/>
          </reference>
        </references>
      </pivotArea>
    </format>
    <format dxfId="0">
      <pivotArea collapsedLevelsAreSubtotals="1" fieldPosition="0">
        <references count="2">
          <reference field="0" count="0"/>
          <reference field="1" count="1" selected="0">
            <x v="0"/>
          </reference>
        </references>
      </pivotArea>
    </format>
  </formats>
  <chartFormats count="6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"/>
  <sheetViews>
    <sheetView zoomScale="85" zoomScaleNormal="85" workbookViewId="0">
      <selection activeCell="B5" sqref="B5:B12"/>
    </sheetView>
  </sheetViews>
  <sheetFormatPr defaultRowHeight="14.5" x14ac:dyDescent="0.35"/>
  <cols>
    <col min="1" max="1" width="24.26953125" bestFit="1" customWidth="1"/>
    <col min="2" max="2" width="15.36328125" bestFit="1" customWidth="1"/>
    <col min="3" max="3" width="11.81640625" customWidth="1"/>
    <col min="4" max="4" width="12.36328125" bestFit="1" customWidth="1"/>
  </cols>
  <sheetData>
    <row r="3" spans="1:4" x14ac:dyDescent="0.35">
      <c r="A3" s="6" t="s">
        <v>31</v>
      </c>
      <c r="B3" s="6" t="s">
        <v>30</v>
      </c>
      <c r="C3" s="2"/>
      <c r="D3" s="3"/>
    </row>
    <row r="4" spans="1:4" x14ac:dyDescent="0.35">
      <c r="A4" s="11" t="s">
        <v>28</v>
      </c>
      <c r="B4" s="11" t="s">
        <v>13</v>
      </c>
      <c r="C4" s="12" t="s">
        <v>11</v>
      </c>
      <c r="D4" s="13" t="s">
        <v>29</v>
      </c>
    </row>
    <row r="5" spans="1:4" x14ac:dyDescent="0.35">
      <c r="A5" s="4" t="s">
        <v>15</v>
      </c>
      <c r="B5" s="26">
        <v>0.90334572490706322</v>
      </c>
      <c r="C5" s="21">
        <v>1</v>
      </c>
      <c r="D5" s="22">
        <v>1</v>
      </c>
    </row>
    <row r="6" spans="1:4" x14ac:dyDescent="0.35">
      <c r="A6" s="5" t="s">
        <v>20</v>
      </c>
      <c r="B6" s="27">
        <v>0.95638444839155323</v>
      </c>
      <c r="C6" s="23">
        <v>0.96932515337423308</v>
      </c>
      <c r="D6" s="24">
        <v>0.96932515337423308</v>
      </c>
    </row>
    <row r="7" spans="1:4" x14ac:dyDescent="0.35">
      <c r="A7" s="5" t="s">
        <v>17</v>
      </c>
      <c r="B7" s="27">
        <v>0.93974461292897049</v>
      </c>
      <c r="C7" s="23">
        <v>0.90595340811044001</v>
      </c>
      <c r="D7" s="24">
        <v>0.93974461292897049</v>
      </c>
    </row>
    <row r="8" spans="1:4" x14ac:dyDescent="0.35">
      <c r="A8" s="5" t="s">
        <v>10</v>
      </c>
      <c r="B8" s="27">
        <v>0.95932403222637064</v>
      </c>
      <c r="C8" s="23">
        <v>0.88777219430485765</v>
      </c>
      <c r="D8" s="24">
        <v>0.95932403222637064</v>
      </c>
    </row>
    <row r="9" spans="1:4" x14ac:dyDescent="0.35">
      <c r="A9" s="5" t="s">
        <v>14</v>
      </c>
      <c r="B9" s="27">
        <v>0.95847274158630191</v>
      </c>
      <c r="C9" s="23">
        <v>0.88590604026845643</v>
      </c>
      <c r="D9" s="24">
        <v>0.95847274158630191</v>
      </c>
    </row>
    <row r="10" spans="1:4" x14ac:dyDescent="0.35">
      <c r="A10" s="5" t="s">
        <v>18</v>
      </c>
      <c r="B10" s="27">
        <v>0.93696217730638387</v>
      </c>
      <c r="C10" s="23">
        <v>0.868824531516184</v>
      </c>
      <c r="D10" s="24">
        <v>0.93696217730638387</v>
      </c>
    </row>
    <row r="11" spans="1:4" x14ac:dyDescent="0.35">
      <c r="A11" s="5" t="s">
        <v>16</v>
      </c>
      <c r="B11" s="27">
        <v>0.96319498825371963</v>
      </c>
      <c r="C11" s="23">
        <v>1</v>
      </c>
      <c r="D11" s="24">
        <v>1</v>
      </c>
    </row>
    <row r="12" spans="1:4" x14ac:dyDescent="0.35">
      <c r="A12" s="5" t="s">
        <v>19</v>
      </c>
      <c r="B12" s="27">
        <v>0.97073076177553785</v>
      </c>
      <c r="C12" s="23">
        <v>0.88666666666666671</v>
      </c>
      <c r="D12" s="24">
        <v>0.97073076177553785</v>
      </c>
    </row>
    <row r="13" spans="1:4" x14ac:dyDescent="0.35">
      <c r="A13" s="10" t="s">
        <v>29</v>
      </c>
      <c r="B13" s="7">
        <v>0.97073076177553785</v>
      </c>
      <c r="C13" s="8">
        <v>1</v>
      </c>
      <c r="D13" s="9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"/>
  <sheetViews>
    <sheetView tabSelected="1" topLeftCell="M1" zoomScale="84" zoomScaleNormal="84" workbookViewId="0">
      <selection activeCell="N3" sqref="N3"/>
    </sheetView>
  </sheetViews>
  <sheetFormatPr defaultRowHeight="14.5" x14ac:dyDescent="0.35"/>
  <cols>
    <col min="1" max="1" width="27.08984375" customWidth="1"/>
    <col min="2" max="2" width="10.453125" customWidth="1"/>
    <col min="3" max="3" width="12.54296875" customWidth="1"/>
    <col min="4" max="4" width="16.453125" customWidth="1"/>
    <col min="5" max="5" width="19.36328125" customWidth="1"/>
    <col min="6" max="6" width="9.54296875" customWidth="1"/>
    <col min="10" max="12" width="13.6328125" customWidth="1"/>
    <col min="13" max="13" width="11.1796875" style="1" customWidth="1"/>
    <col min="14" max="14" width="13.453125" customWidth="1"/>
    <col min="15" max="15" width="14.26953125" style="1" customWidth="1"/>
    <col min="16" max="16" width="17.26953125" style="1" customWidth="1"/>
    <col min="17" max="17" width="10.90625" style="1" customWidth="1"/>
    <col min="18" max="18" width="25.6328125" customWidth="1"/>
    <col min="19" max="19" width="15.54296875" customWidth="1"/>
    <col min="21" max="21" width="24.6328125" customWidth="1"/>
    <col min="22" max="22" width="21.453125" customWidth="1"/>
    <col min="23" max="23" width="22.453125" customWidth="1"/>
  </cols>
  <sheetData>
    <row r="1" spans="1:23" ht="15" thickBot="1" x14ac:dyDescent="0.4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24</v>
      </c>
      <c r="L1" s="19" t="s">
        <v>25</v>
      </c>
      <c r="M1" s="19" t="s">
        <v>21</v>
      </c>
      <c r="N1" s="19" t="s">
        <v>22</v>
      </c>
      <c r="O1" s="19" t="s">
        <v>34</v>
      </c>
      <c r="P1" s="19" t="s">
        <v>35</v>
      </c>
      <c r="Q1" s="19" t="s">
        <v>23</v>
      </c>
      <c r="R1" s="19" t="s">
        <v>27</v>
      </c>
      <c r="S1" s="20" t="s">
        <v>26</v>
      </c>
      <c r="U1" s="16" t="s">
        <v>0</v>
      </c>
      <c r="V1" s="16" t="s">
        <v>32</v>
      </c>
      <c r="W1" s="17" t="s">
        <v>33</v>
      </c>
    </row>
    <row r="2" spans="1:23" x14ac:dyDescent="0.35">
      <c r="A2" s="1" t="s">
        <v>10</v>
      </c>
      <c r="B2" s="1" t="s">
        <v>11</v>
      </c>
      <c r="C2" s="1" t="s">
        <v>12</v>
      </c>
      <c r="D2" s="1">
        <v>744</v>
      </c>
      <c r="E2" s="1">
        <v>186</v>
      </c>
      <c r="F2" s="1">
        <v>530</v>
      </c>
      <c r="G2" s="1">
        <v>80</v>
      </c>
      <c r="H2" s="1">
        <v>28</v>
      </c>
      <c r="I2" s="1">
        <v>106</v>
      </c>
      <c r="J2" s="1">
        <v>0.84326704435966005</v>
      </c>
      <c r="K2" s="1">
        <f>F2+I2</f>
        <v>636</v>
      </c>
      <c r="L2" s="1">
        <f>G2+H2</f>
        <v>108</v>
      </c>
      <c r="M2" s="1">
        <f>(F2+G2)/(K2+L2)</f>
        <v>0.81989247311827962</v>
      </c>
      <c r="N2" s="1">
        <f>F2/(F2+H2)</f>
        <v>0.94982078853046592</v>
      </c>
      <c r="O2" s="1">
        <f>F2/(F2+I2)</f>
        <v>0.83333333333333337</v>
      </c>
      <c r="P2" s="1">
        <f>G2/(G2+H2)</f>
        <v>0.7407407407407407</v>
      </c>
      <c r="Q2" s="1">
        <f>(2*F2)/(2*F2+H2+I2)</f>
        <v>0.88777219430485765</v>
      </c>
      <c r="R2">
        <f>2*((F2*G2)-(I2*H2))/((F2+H2)*(H2+G2)+(F2+I2)*(I2+G2))</f>
        <v>0.44166666666666665</v>
      </c>
      <c r="S2">
        <f>((F2*G2)-(H2*I2))/SQRT((F2+H2)*(F2+I2)*(G2+H2)*(G2+I2))</f>
        <v>0.46701926714512931</v>
      </c>
      <c r="U2" t="str">
        <f>A3</f>
        <v>Linear Discriminant Analysis</v>
      </c>
      <c r="V2" s="25">
        <f>AVERAGE(O3,O19,O35,O51)</f>
        <v>0.98521491167348896</v>
      </c>
      <c r="W2" s="25">
        <f>AVERAGE(P3,P19,P35,P51)</f>
        <v>0.12088175252791958</v>
      </c>
    </row>
    <row r="3" spans="1:23" x14ac:dyDescent="0.35">
      <c r="A3" s="1" t="s">
        <v>10</v>
      </c>
      <c r="B3" s="1" t="s">
        <v>13</v>
      </c>
      <c r="C3" s="1" t="s">
        <v>12</v>
      </c>
      <c r="D3" s="1">
        <v>2679</v>
      </c>
      <c r="E3" s="1">
        <v>186</v>
      </c>
      <c r="F3" s="1">
        <v>2417</v>
      </c>
      <c r="G3" s="15">
        <v>28</v>
      </c>
      <c r="H3" s="1">
        <v>200</v>
      </c>
      <c r="I3" s="15">
        <v>34</v>
      </c>
      <c r="J3" s="1">
        <v>0.82611214515512998</v>
      </c>
      <c r="K3" s="1">
        <f t="shared" ref="K3:K65" si="0">F3+I3</f>
        <v>2451</v>
      </c>
      <c r="L3" s="1">
        <f t="shared" ref="L3:L65" si="1">G3+H3</f>
        <v>228</v>
      </c>
      <c r="M3" s="1">
        <f t="shared" ref="M3:M65" si="2">(F3+G3)/(K3+L3)</f>
        <v>0.91265397536394177</v>
      </c>
      <c r="N3" s="1">
        <f t="shared" ref="N3:N65" si="3">F3/(F3+H3)</f>
        <v>0.92357661444401984</v>
      </c>
      <c r="O3" s="15">
        <f>F3/(F3+I3)</f>
        <v>0.98612811097511222</v>
      </c>
      <c r="P3" s="1">
        <f t="shared" ref="P3:P65" si="4">G3/(G3+H3)</f>
        <v>0.12280701754385964</v>
      </c>
      <c r="Q3" s="1">
        <f t="shared" ref="Q3:Q65" si="5">(2*F3)/(2*F3+H3+I3)</f>
        <v>0.9538279400157853</v>
      </c>
      <c r="R3">
        <f t="shared" ref="R3:R65" si="6">2*((F3*G3)-(I3*H3))/((F3+H3)*(H3+G3)+(F3+I3)*(I3+G3))</f>
        <v>0.1626313385107355</v>
      </c>
      <c r="S3">
        <f t="shared" ref="S3:S65" si="7">((F3*G3)-(H3*I3))/SQRT((F3+H3)*(F3+I3)*(G3+H3)*(G3+I3))</f>
        <v>0.20216656085103091</v>
      </c>
      <c r="U3" t="str">
        <f>A5</f>
        <v>Logistic Regression</v>
      </c>
      <c r="V3" s="25">
        <f>AVERAGE(O5,O21,O37,O53)</f>
        <v>0.98516787648576576</v>
      </c>
      <c r="W3" s="25">
        <f t="shared" ref="W3" si="8">AVERAGE(P5,P21,P37,P53)</f>
        <v>0.11685395844404449</v>
      </c>
    </row>
    <row r="4" spans="1:23" x14ac:dyDescent="0.35">
      <c r="A4" s="14" t="s">
        <v>14</v>
      </c>
      <c r="B4" s="1" t="s">
        <v>11</v>
      </c>
      <c r="C4" s="1" t="s">
        <v>12</v>
      </c>
      <c r="D4" s="1">
        <v>744</v>
      </c>
      <c r="E4" s="1">
        <v>186</v>
      </c>
      <c r="F4" s="1">
        <v>528</v>
      </c>
      <c r="G4" s="1">
        <v>80</v>
      </c>
      <c r="H4" s="1">
        <v>30</v>
      </c>
      <c r="I4" s="1">
        <v>106</v>
      </c>
      <c r="J4" s="1">
        <v>0.84373916059660004</v>
      </c>
      <c r="K4" s="1">
        <f t="shared" si="0"/>
        <v>634</v>
      </c>
      <c r="L4" s="1">
        <f t="shared" si="1"/>
        <v>110</v>
      </c>
      <c r="M4" s="1">
        <f t="shared" si="2"/>
        <v>0.81720430107526887</v>
      </c>
      <c r="N4" s="1">
        <f t="shared" si="3"/>
        <v>0.94623655913978499</v>
      </c>
      <c r="O4" s="1">
        <f t="shared" ref="O4:O65" si="9">F4/(F4+I4)</f>
        <v>0.83280757097791802</v>
      </c>
      <c r="P4" s="1">
        <f t="shared" si="4"/>
        <v>0.72727272727272729</v>
      </c>
      <c r="Q4" s="1">
        <f t="shared" si="5"/>
        <v>0.88590604026845643</v>
      </c>
      <c r="R4">
        <f t="shared" si="6"/>
        <v>0.43568464730290457</v>
      </c>
      <c r="S4">
        <f t="shared" si="7"/>
        <v>0.45911099741107403</v>
      </c>
      <c r="U4" t="str">
        <f>A7</f>
        <v>Decision Tree</v>
      </c>
      <c r="V4" s="25">
        <f t="shared" ref="V4" si="10">AVERAGE(O7,O23,O39,O55)</f>
        <v>0.98514561683492352</v>
      </c>
      <c r="W4" s="25">
        <f>AVERAGE(P7,P23,P39,P55)</f>
        <v>5.7777104946823282E-2</v>
      </c>
    </row>
    <row r="5" spans="1:23" x14ac:dyDescent="0.35">
      <c r="A5" s="1" t="s">
        <v>14</v>
      </c>
      <c r="B5" s="1" t="s">
        <v>13</v>
      </c>
      <c r="C5" s="1" t="s">
        <v>12</v>
      </c>
      <c r="D5" s="1">
        <v>2679</v>
      </c>
      <c r="E5" s="1">
        <v>186</v>
      </c>
      <c r="F5" s="1">
        <v>2412</v>
      </c>
      <c r="G5" s="1">
        <v>26</v>
      </c>
      <c r="H5" s="1">
        <v>205</v>
      </c>
      <c r="I5" s="1">
        <v>36</v>
      </c>
      <c r="J5" s="1">
        <v>0.82840484672181003</v>
      </c>
      <c r="K5" s="1">
        <f t="shared" si="0"/>
        <v>2448</v>
      </c>
      <c r="L5" s="1">
        <f t="shared" si="1"/>
        <v>231</v>
      </c>
      <c r="M5" s="1">
        <f t="shared" si="2"/>
        <v>0.9100410600970511</v>
      </c>
      <c r="N5" s="1">
        <f t="shared" si="3"/>
        <v>0.92166602980512036</v>
      </c>
      <c r="O5" s="1">
        <f t="shared" si="9"/>
        <v>0.98529411764705888</v>
      </c>
      <c r="P5" s="1">
        <f t="shared" si="4"/>
        <v>0.11255411255411256</v>
      </c>
      <c r="Q5" s="1">
        <f t="shared" si="5"/>
        <v>0.95241855873642645</v>
      </c>
      <c r="R5">
        <f t="shared" si="6"/>
        <v>0.14632230732920537</v>
      </c>
      <c r="S5">
        <f t="shared" si="7"/>
        <v>0.18266988926979544</v>
      </c>
      <c r="U5" t="str">
        <f>A9</f>
        <v>Random Forest</v>
      </c>
      <c r="V5" s="25">
        <f>AVERAGE(O9,O25,O41,O57)</f>
        <v>0.98585321858037345</v>
      </c>
      <c r="W5" s="25">
        <f>AVERAGE(P9,P25,P41,P57)</f>
        <v>0.1248935704845405</v>
      </c>
    </row>
    <row r="6" spans="1:23" x14ac:dyDescent="0.35">
      <c r="A6" s="1" t="s">
        <v>15</v>
      </c>
      <c r="B6" s="1" t="s">
        <v>11</v>
      </c>
      <c r="C6" s="1" t="s">
        <v>12</v>
      </c>
      <c r="D6" s="1">
        <v>744</v>
      </c>
      <c r="E6" s="1">
        <v>186</v>
      </c>
      <c r="F6" s="1">
        <v>558</v>
      </c>
      <c r="G6" s="1">
        <v>186</v>
      </c>
      <c r="H6" s="1">
        <v>0</v>
      </c>
      <c r="I6" s="1">
        <v>0</v>
      </c>
      <c r="J6" s="1">
        <v>1</v>
      </c>
      <c r="K6" s="1">
        <f t="shared" si="0"/>
        <v>558</v>
      </c>
      <c r="L6" s="1">
        <f t="shared" si="1"/>
        <v>186</v>
      </c>
      <c r="M6" s="1">
        <f t="shared" si="2"/>
        <v>1</v>
      </c>
      <c r="N6" s="1">
        <f t="shared" si="3"/>
        <v>1</v>
      </c>
      <c r="O6" s="1">
        <f t="shared" si="9"/>
        <v>1</v>
      </c>
      <c r="P6" s="1">
        <f t="shared" si="4"/>
        <v>1</v>
      </c>
      <c r="Q6" s="1">
        <f t="shared" si="5"/>
        <v>1</v>
      </c>
      <c r="R6">
        <f t="shared" si="6"/>
        <v>1</v>
      </c>
      <c r="S6">
        <f t="shared" si="7"/>
        <v>1</v>
      </c>
      <c r="U6" t="str">
        <f>A11</f>
        <v>k-Nearest Neighbors</v>
      </c>
      <c r="V6" s="25">
        <f>AVERAGE(O11,O27,O43,O59)</f>
        <v>0.98630701963697154</v>
      </c>
      <c r="W6" s="25">
        <f>AVERAGE(P11,P27,P43,P59)</f>
        <v>9.5215154250206366E-2</v>
      </c>
    </row>
    <row r="7" spans="1:23" x14ac:dyDescent="0.35">
      <c r="A7" s="1" t="s">
        <v>15</v>
      </c>
      <c r="B7" s="1" t="s">
        <v>13</v>
      </c>
      <c r="C7" s="1" t="s">
        <v>12</v>
      </c>
      <c r="D7" s="1">
        <v>2679</v>
      </c>
      <c r="E7" s="1">
        <v>186</v>
      </c>
      <c r="F7" s="1">
        <v>2086</v>
      </c>
      <c r="G7" s="1">
        <v>36</v>
      </c>
      <c r="H7" s="1">
        <v>531</v>
      </c>
      <c r="I7" s="1">
        <v>26</v>
      </c>
      <c r="J7" s="1">
        <v>0.68887053631960005</v>
      </c>
      <c r="K7" s="1">
        <f t="shared" si="0"/>
        <v>2112</v>
      </c>
      <c r="L7" s="1">
        <f t="shared" si="1"/>
        <v>567</v>
      </c>
      <c r="M7" s="1">
        <f t="shared" si="2"/>
        <v>0.792086599477417</v>
      </c>
      <c r="N7" s="1">
        <f t="shared" si="3"/>
        <v>0.79709591134887281</v>
      </c>
      <c r="O7" s="1">
        <f t="shared" si="9"/>
        <v>0.98768939393939392</v>
      </c>
      <c r="P7" s="1">
        <f t="shared" si="4"/>
        <v>6.3492063492063489E-2</v>
      </c>
      <c r="Q7" s="1">
        <f t="shared" si="5"/>
        <v>0.88221611334320149</v>
      </c>
      <c r="R7">
        <f t="shared" si="6"/>
        <v>7.5911128616043141E-2</v>
      </c>
      <c r="S7">
        <f t="shared" si="7"/>
        <v>0.13904437647526793</v>
      </c>
      <c r="U7" t="str">
        <f>A13</f>
        <v>Naive Bayes</v>
      </c>
      <c r="V7" s="25">
        <f>AVERAGE(O13,O29,O45,O61)</f>
        <v>0.98438079789064392</v>
      </c>
      <c r="W7" s="25">
        <f>AVERAGE(P13,P29,P45,P61)</f>
        <v>7.7049059294796413E-2</v>
      </c>
    </row>
    <row r="8" spans="1:23" x14ac:dyDescent="0.35">
      <c r="A8" s="1" t="s">
        <v>16</v>
      </c>
      <c r="B8" s="1" t="s">
        <v>11</v>
      </c>
      <c r="C8" s="1" t="s">
        <v>12</v>
      </c>
      <c r="D8" s="1">
        <v>744</v>
      </c>
      <c r="E8" s="1">
        <v>186</v>
      </c>
      <c r="F8" s="1">
        <v>558</v>
      </c>
      <c r="G8" s="1">
        <v>186</v>
      </c>
      <c r="H8" s="1">
        <v>0</v>
      </c>
      <c r="I8" s="1">
        <v>0</v>
      </c>
      <c r="J8" s="1">
        <v>1</v>
      </c>
      <c r="K8" s="1">
        <f t="shared" si="0"/>
        <v>558</v>
      </c>
      <c r="L8" s="1">
        <f t="shared" si="1"/>
        <v>186</v>
      </c>
      <c r="M8" s="1">
        <f t="shared" si="2"/>
        <v>1</v>
      </c>
      <c r="N8" s="1">
        <f t="shared" si="3"/>
        <v>1</v>
      </c>
      <c r="O8" s="1">
        <f t="shared" si="9"/>
        <v>1</v>
      </c>
      <c r="P8" s="1">
        <f t="shared" si="4"/>
        <v>1</v>
      </c>
      <c r="Q8" s="1">
        <f t="shared" si="5"/>
        <v>1</v>
      </c>
      <c r="R8">
        <f t="shared" si="6"/>
        <v>1</v>
      </c>
      <c r="S8">
        <f t="shared" si="7"/>
        <v>1</v>
      </c>
      <c r="U8" t="str">
        <f>A15</f>
        <v>Support Vector Machine</v>
      </c>
      <c r="V8" s="25">
        <f>AVERAGE(O15,O31,O47,O63)</f>
        <v>0.98396442842723197</v>
      </c>
      <c r="W8" s="25">
        <f>AVERAGE(P15,P31,P47,P63)</f>
        <v>0.13088411154728621</v>
      </c>
    </row>
    <row r="9" spans="1:23" x14ac:dyDescent="0.35">
      <c r="A9" s="1" t="s">
        <v>16</v>
      </c>
      <c r="B9" s="1" t="s">
        <v>13</v>
      </c>
      <c r="C9" s="1" t="s">
        <v>12</v>
      </c>
      <c r="D9" s="1">
        <v>2679</v>
      </c>
      <c r="E9" s="1">
        <v>186</v>
      </c>
      <c r="F9" s="1">
        <v>2391</v>
      </c>
      <c r="G9" s="1">
        <v>28</v>
      </c>
      <c r="H9" s="1">
        <v>226</v>
      </c>
      <c r="I9" s="1">
        <v>34</v>
      </c>
      <c r="J9" s="1">
        <v>0.82415225510618995</v>
      </c>
      <c r="K9" s="1">
        <f t="shared" si="0"/>
        <v>2425</v>
      </c>
      <c r="L9" s="1">
        <f t="shared" si="1"/>
        <v>254</v>
      </c>
      <c r="M9" s="1">
        <f t="shared" si="2"/>
        <v>0.90294886151549081</v>
      </c>
      <c r="N9" s="1">
        <f t="shared" si="3"/>
        <v>0.91364157432174242</v>
      </c>
      <c r="O9" s="1">
        <f t="shared" si="9"/>
        <v>0.985979381443299</v>
      </c>
      <c r="P9" s="1">
        <f t="shared" si="4"/>
        <v>0.11023622047244094</v>
      </c>
      <c r="Q9" s="1">
        <f t="shared" si="5"/>
        <v>0.94843316144387146</v>
      </c>
      <c r="R9">
        <f t="shared" si="6"/>
        <v>0.14542099554883764</v>
      </c>
      <c r="S9">
        <f t="shared" si="7"/>
        <v>0.18746514185217614</v>
      </c>
      <c r="U9" t="str">
        <f>A17</f>
        <v>Gradient Boosting</v>
      </c>
      <c r="V9" s="25">
        <f>AVERAGE(O17,O33,O49,O65)</f>
        <v>0.98698928151341681</v>
      </c>
      <c r="W9" s="25">
        <f>AVERAGE(P17,P33,P49,P65)</f>
        <v>0.11848267221702266</v>
      </c>
    </row>
    <row r="10" spans="1:23" x14ac:dyDescent="0.35">
      <c r="A10" s="1" t="s">
        <v>17</v>
      </c>
      <c r="B10" s="1" t="s">
        <v>11</v>
      </c>
      <c r="C10" s="1" t="s">
        <v>12</v>
      </c>
      <c r="D10" s="1">
        <v>744</v>
      </c>
      <c r="E10" s="1">
        <v>186</v>
      </c>
      <c r="F10" s="1">
        <v>520</v>
      </c>
      <c r="G10" s="1">
        <v>111</v>
      </c>
      <c r="H10" s="1">
        <v>38</v>
      </c>
      <c r="I10" s="1">
        <v>75</v>
      </c>
      <c r="J10" s="1">
        <v>0.90870813581531995</v>
      </c>
      <c r="K10" s="1">
        <f t="shared" si="0"/>
        <v>595</v>
      </c>
      <c r="L10" s="1">
        <f t="shared" si="1"/>
        <v>149</v>
      </c>
      <c r="M10" s="1">
        <f t="shared" si="2"/>
        <v>0.8481182795698925</v>
      </c>
      <c r="N10" s="1">
        <f t="shared" si="3"/>
        <v>0.93189964157706096</v>
      </c>
      <c r="O10" s="1">
        <f t="shared" si="9"/>
        <v>0.87394957983193278</v>
      </c>
      <c r="P10" s="1">
        <f t="shared" si="4"/>
        <v>0.74496644295302017</v>
      </c>
      <c r="Q10" s="1">
        <f t="shared" si="5"/>
        <v>0.90199479618386813</v>
      </c>
      <c r="R10">
        <f t="shared" si="6"/>
        <v>0.56621880998080609</v>
      </c>
      <c r="S10">
        <f t="shared" si="7"/>
        <v>0.57201810057576874</v>
      </c>
    </row>
    <row r="11" spans="1:23" x14ac:dyDescent="0.35">
      <c r="A11" s="1" t="s">
        <v>17</v>
      </c>
      <c r="B11" s="1" t="s">
        <v>13</v>
      </c>
      <c r="C11" s="1" t="s">
        <v>12</v>
      </c>
      <c r="D11" s="1">
        <v>2679</v>
      </c>
      <c r="E11" s="1">
        <v>186</v>
      </c>
      <c r="F11" s="1">
        <v>2335</v>
      </c>
      <c r="G11" s="1">
        <v>28</v>
      </c>
      <c r="H11" s="1">
        <v>282</v>
      </c>
      <c r="I11" s="1">
        <v>34</v>
      </c>
      <c r="J11" s="1">
        <v>0.74363960210533997</v>
      </c>
      <c r="K11" s="1">
        <f t="shared" si="0"/>
        <v>2369</v>
      </c>
      <c r="L11" s="1">
        <f t="shared" si="1"/>
        <v>310</v>
      </c>
      <c r="M11" s="1">
        <f t="shared" si="2"/>
        <v>0.88204553938036578</v>
      </c>
      <c r="N11" s="1">
        <f t="shared" si="3"/>
        <v>0.892243026366068</v>
      </c>
      <c r="O11" s="1">
        <f t="shared" si="9"/>
        <v>0.98564795272266781</v>
      </c>
      <c r="P11" s="1">
        <f t="shared" si="4"/>
        <v>9.0322580645161285E-2</v>
      </c>
      <c r="Q11" s="1">
        <f t="shared" si="5"/>
        <v>0.93662254312073812</v>
      </c>
      <c r="R11">
        <f t="shared" si="6"/>
        <v>0.1164580002254349</v>
      </c>
      <c r="S11">
        <f t="shared" si="7"/>
        <v>0.16162585923293768</v>
      </c>
    </row>
    <row r="12" spans="1:23" x14ac:dyDescent="0.35">
      <c r="A12" s="1" t="s">
        <v>18</v>
      </c>
      <c r="B12" s="1" t="s">
        <v>11</v>
      </c>
      <c r="C12" s="1" t="s">
        <v>12</v>
      </c>
      <c r="D12" s="1">
        <v>744</v>
      </c>
      <c r="E12" s="1">
        <v>186</v>
      </c>
      <c r="F12" s="1">
        <v>510</v>
      </c>
      <c r="G12" s="1">
        <v>80</v>
      </c>
      <c r="H12" s="1">
        <v>48</v>
      </c>
      <c r="I12" s="1">
        <v>106</v>
      </c>
      <c r="J12" s="1">
        <v>0.81560488688480004</v>
      </c>
      <c r="K12" s="1">
        <f t="shared" si="0"/>
        <v>616</v>
      </c>
      <c r="L12" s="1">
        <f t="shared" si="1"/>
        <v>128</v>
      </c>
      <c r="M12" s="1">
        <f t="shared" si="2"/>
        <v>0.793010752688172</v>
      </c>
      <c r="N12" s="1">
        <f t="shared" si="3"/>
        <v>0.91397849462365588</v>
      </c>
      <c r="O12" s="1">
        <f t="shared" si="9"/>
        <v>0.82792207792207795</v>
      </c>
      <c r="P12" s="1">
        <f t="shared" si="4"/>
        <v>0.625</v>
      </c>
      <c r="Q12" s="1">
        <f t="shared" si="5"/>
        <v>0.868824531516184</v>
      </c>
      <c r="R12">
        <f t="shared" si="6"/>
        <v>0.38400000000000001</v>
      </c>
      <c r="S12">
        <f t="shared" si="7"/>
        <v>0.39477101697586142</v>
      </c>
    </row>
    <row r="13" spans="1:23" x14ac:dyDescent="0.35">
      <c r="A13" s="1" t="s">
        <v>18</v>
      </c>
      <c r="B13" s="1" t="s">
        <v>13</v>
      </c>
      <c r="C13" s="1" t="s">
        <v>12</v>
      </c>
      <c r="D13" s="1">
        <v>2679</v>
      </c>
      <c r="E13" s="1">
        <v>186</v>
      </c>
      <c r="F13" s="1">
        <v>2341</v>
      </c>
      <c r="G13" s="1">
        <v>23</v>
      </c>
      <c r="H13" s="1">
        <v>276</v>
      </c>
      <c r="I13" s="1">
        <v>39</v>
      </c>
      <c r="J13" s="1">
        <v>0.79703427958633</v>
      </c>
      <c r="K13" s="1">
        <f t="shared" si="0"/>
        <v>2380</v>
      </c>
      <c r="L13" s="1">
        <f t="shared" si="1"/>
        <v>299</v>
      </c>
      <c r="M13" s="1">
        <f t="shared" si="2"/>
        <v>0.88241881298992164</v>
      </c>
      <c r="N13" s="1">
        <f t="shared" si="3"/>
        <v>0.89453572793274738</v>
      </c>
      <c r="O13" s="1">
        <f t="shared" si="9"/>
        <v>0.98361344537815121</v>
      </c>
      <c r="P13" s="1">
        <f t="shared" si="4"/>
        <v>7.6923076923076927E-2</v>
      </c>
      <c r="Q13" s="1">
        <f t="shared" si="5"/>
        <v>0.93696217730638387</v>
      </c>
      <c r="R13">
        <f t="shared" si="6"/>
        <v>9.2638727456687484E-2</v>
      </c>
      <c r="S13">
        <f t="shared" si="7"/>
        <v>0.12677798201869142</v>
      </c>
    </row>
    <row r="14" spans="1:23" x14ac:dyDescent="0.35">
      <c r="A14" s="1" t="s">
        <v>19</v>
      </c>
      <c r="B14" s="1" t="s">
        <v>11</v>
      </c>
      <c r="C14" s="1" t="s">
        <v>12</v>
      </c>
      <c r="D14" s="1">
        <v>744</v>
      </c>
      <c r="E14" s="1">
        <v>186</v>
      </c>
      <c r="F14" s="1">
        <v>532</v>
      </c>
      <c r="G14" s="1">
        <v>76</v>
      </c>
      <c r="H14" s="1">
        <v>26</v>
      </c>
      <c r="I14" s="1">
        <v>110</v>
      </c>
      <c r="J14" s="1">
        <v>0.84376806567232998</v>
      </c>
      <c r="K14" s="1">
        <f t="shared" si="0"/>
        <v>642</v>
      </c>
      <c r="L14" s="1">
        <f t="shared" si="1"/>
        <v>102</v>
      </c>
      <c r="M14" s="1">
        <f t="shared" si="2"/>
        <v>0.81720430107526887</v>
      </c>
      <c r="N14" s="1">
        <f t="shared" si="3"/>
        <v>0.95340501792114696</v>
      </c>
      <c r="O14" s="1">
        <f t="shared" si="9"/>
        <v>0.82866043613707163</v>
      </c>
      <c r="P14" s="1">
        <f t="shared" si="4"/>
        <v>0.74509803921568629</v>
      </c>
      <c r="Q14" s="1">
        <f t="shared" si="5"/>
        <v>0.88666666666666671</v>
      </c>
      <c r="R14">
        <f t="shared" si="6"/>
        <v>0.42616033755274263</v>
      </c>
      <c r="S14">
        <f t="shared" si="7"/>
        <v>0.4557462902116477</v>
      </c>
    </row>
    <row r="15" spans="1:23" x14ac:dyDescent="0.35">
      <c r="A15" s="1" t="s">
        <v>19</v>
      </c>
      <c r="B15" s="1" t="s">
        <v>13</v>
      </c>
      <c r="C15" s="1" t="s">
        <v>12</v>
      </c>
      <c r="D15" s="1">
        <v>2679</v>
      </c>
      <c r="E15" s="1">
        <v>186</v>
      </c>
      <c r="F15" s="1">
        <v>2446</v>
      </c>
      <c r="G15" s="1">
        <v>26</v>
      </c>
      <c r="H15" s="1">
        <v>171</v>
      </c>
      <c r="I15" s="1">
        <v>36</v>
      </c>
      <c r="J15" s="1">
        <v>0.82484869402295002</v>
      </c>
      <c r="K15" s="1">
        <f t="shared" si="0"/>
        <v>2482</v>
      </c>
      <c r="L15" s="1">
        <f t="shared" si="1"/>
        <v>197</v>
      </c>
      <c r="M15" s="1">
        <f t="shared" si="2"/>
        <v>0.92273236282194848</v>
      </c>
      <c r="N15" s="1">
        <f t="shared" si="3"/>
        <v>0.93465800534963694</v>
      </c>
      <c r="O15" s="1">
        <f t="shared" si="9"/>
        <v>0.98549556809024985</v>
      </c>
      <c r="P15" s="1">
        <f t="shared" si="4"/>
        <v>0.13197969543147209</v>
      </c>
      <c r="Q15" s="1">
        <f t="shared" si="5"/>
        <v>0.95940380466758191</v>
      </c>
      <c r="R15">
        <f t="shared" si="6"/>
        <v>0.1716079129651511</v>
      </c>
      <c r="S15">
        <f t="shared" si="7"/>
        <v>0.20393075331087807</v>
      </c>
    </row>
    <row r="16" spans="1:23" x14ac:dyDescent="0.35">
      <c r="A16" s="1" t="s">
        <v>20</v>
      </c>
      <c r="B16" s="1" t="s">
        <v>11</v>
      </c>
      <c r="C16" s="1" t="s">
        <v>12</v>
      </c>
      <c r="D16" s="1">
        <v>744</v>
      </c>
      <c r="E16" s="1">
        <v>186</v>
      </c>
      <c r="F16" s="1">
        <v>551</v>
      </c>
      <c r="G16" s="1">
        <v>152</v>
      </c>
      <c r="H16" s="1">
        <v>7</v>
      </c>
      <c r="I16" s="1">
        <v>34</v>
      </c>
      <c r="J16" s="1">
        <v>0.99106833159902996</v>
      </c>
      <c r="K16" s="1">
        <f t="shared" si="0"/>
        <v>585</v>
      </c>
      <c r="L16" s="1">
        <f t="shared" si="1"/>
        <v>159</v>
      </c>
      <c r="M16" s="1">
        <f t="shared" si="2"/>
        <v>0.94489247311827962</v>
      </c>
      <c r="N16" s="1">
        <f t="shared" si="3"/>
        <v>0.98745519713261654</v>
      </c>
      <c r="O16" s="1">
        <f t="shared" si="9"/>
        <v>0.94188034188034186</v>
      </c>
      <c r="P16" s="1">
        <f t="shared" si="4"/>
        <v>0.95597484276729561</v>
      </c>
      <c r="Q16" s="1">
        <f t="shared" si="5"/>
        <v>0.96412948381452324</v>
      </c>
      <c r="R16">
        <f t="shared" si="6"/>
        <v>0.84557438794726936</v>
      </c>
      <c r="S16">
        <f t="shared" si="7"/>
        <v>0.84998100116527087</v>
      </c>
    </row>
    <row r="17" spans="1:19" x14ac:dyDescent="0.35">
      <c r="A17" s="1" t="s">
        <v>20</v>
      </c>
      <c r="B17" s="1" t="s">
        <v>13</v>
      </c>
      <c r="C17" s="1" t="s">
        <v>12</v>
      </c>
      <c r="D17" s="1">
        <v>2679</v>
      </c>
      <c r="E17" s="1">
        <v>186</v>
      </c>
      <c r="F17" s="1">
        <v>2350</v>
      </c>
      <c r="G17" s="1">
        <v>32</v>
      </c>
      <c r="H17" s="1">
        <v>267</v>
      </c>
      <c r="I17" s="1">
        <v>30</v>
      </c>
      <c r="J17" s="1">
        <v>0.81242064910571998</v>
      </c>
      <c r="K17" s="1">
        <f t="shared" si="0"/>
        <v>2380</v>
      </c>
      <c r="L17" s="1">
        <f t="shared" si="1"/>
        <v>299</v>
      </c>
      <c r="M17" s="1">
        <f t="shared" si="2"/>
        <v>0.88913773796192608</v>
      </c>
      <c r="N17" s="1">
        <f t="shared" si="3"/>
        <v>0.89797478028276656</v>
      </c>
      <c r="O17" s="1">
        <f t="shared" si="9"/>
        <v>0.98739495798319332</v>
      </c>
      <c r="P17" s="1">
        <f t="shared" si="4"/>
        <v>0.10702341137123746</v>
      </c>
      <c r="Q17" s="1">
        <f t="shared" si="5"/>
        <v>0.94056433860316191</v>
      </c>
      <c r="R17">
        <f t="shared" si="6"/>
        <v>0.14448794303059107</v>
      </c>
      <c r="S17">
        <f t="shared" si="7"/>
        <v>0.19773468770946115</v>
      </c>
    </row>
    <row r="18" spans="1:19" x14ac:dyDescent="0.35">
      <c r="A18" s="1" t="s">
        <v>10</v>
      </c>
      <c r="B18" s="1" t="s">
        <v>11</v>
      </c>
      <c r="C18" s="1" t="s">
        <v>12</v>
      </c>
      <c r="D18" s="1">
        <v>744</v>
      </c>
      <c r="E18" s="1">
        <v>186</v>
      </c>
      <c r="F18" s="1">
        <v>524</v>
      </c>
      <c r="G18" s="1">
        <v>63</v>
      </c>
      <c r="H18" s="1">
        <v>34</v>
      </c>
      <c r="I18" s="1">
        <v>123</v>
      </c>
      <c r="J18" s="1">
        <v>0.80751146568003995</v>
      </c>
      <c r="K18" s="1">
        <f t="shared" si="0"/>
        <v>647</v>
      </c>
      <c r="L18" s="1">
        <f t="shared" si="1"/>
        <v>97</v>
      </c>
      <c r="M18" s="1">
        <f t="shared" si="2"/>
        <v>0.78897849462365588</v>
      </c>
      <c r="N18" s="1">
        <f t="shared" si="3"/>
        <v>0.93906810035842292</v>
      </c>
      <c r="O18" s="1">
        <f t="shared" si="9"/>
        <v>0.80989180834621333</v>
      </c>
      <c r="P18" s="1">
        <f t="shared" si="4"/>
        <v>0.64948453608247425</v>
      </c>
      <c r="Q18" s="1">
        <f t="shared" si="5"/>
        <v>0.86970954356846475</v>
      </c>
      <c r="R18">
        <f t="shared" si="6"/>
        <v>0.33049040511727079</v>
      </c>
      <c r="S18">
        <f t="shared" si="7"/>
        <v>0.35721777687998657</v>
      </c>
    </row>
    <row r="19" spans="1:19" x14ac:dyDescent="0.35">
      <c r="A19" s="1" t="s">
        <v>10</v>
      </c>
      <c r="B19" s="1" t="s">
        <v>13</v>
      </c>
      <c r="C19" s="1" t="s">
        <v>12</v>
      </c>
      <c r="D19" s="1">
        <v>2679</v>
      </c>
      <c r="E19" s="1">
        <v>186</v>
      </c>
      <c r="F19" s="1">
        <v>2441</v>
      </c>
      <c r="G19" s="1">
        <v>31</v>
      </c>
      <c r="H19" s="1">
        <v>176</v>
      </c>
      <c r="I19" s="1">
        <v>31</v>
      </c>
      <c r="J19" s="1">
        <v>0.87391374018514001</v>
      </c>
      <c r="K19" s="1">
        <f t="shared" si="0"/>
        <v>2472</v>
      </c>
      <c r="L19" s="1">
        <f t="shared" si="1"/>
        <v>207</v>
      </c>
      <c r="M19" s="1">
        <f t="shared" si="2"/>
        <v>0.92273236282194848</v>
      </c>
      <c r="N19" s="1">
        <f t="shared" si="3"/>
        <v>0.93274742071073746</v>
      </c>
      <c r="O19" s="1">
        <f t="shared" si="9"/>
        <v>0.98745954692556637</v>
      </c>
      <c r="P19" s="1">
        <f t="shared" si="4"/>
        <v>0.14975845410628019</v>
      </c>
      <c r="Q19" s="1">
        <f t="shared" si="5"/>
        <v>0.95932403222637064</v>
      </c>
      <c r="R19">
        <f t="shared" si="6"/>
        <v>0.20206249649271996</v>
      </c>
      <c r="S19">
        <f t="shared" si="7"/>
        <v>0.24368162840397897</v>
      </c>
    </row>
    <row r="20" spans="1:19" x14ac:dyDescent="0.35">
      <c r="A20" s="1" t="s">
        <v>14</v>
      </c>
      <c r="B20" s="1" t="s">
        <v>11</v>
      </c>
      <c r="C20" s="1" t="s">
        <v>12</v>
      </c>
      <c r="D20" s="1">
        <v>744</v>
      </c>
      <c r="E20" s="1">
        <v>186</v>
      </c>
      <c r="F20" s="1">
        <v>524</v>
      </c>
      <c r="G20" s="1">
        <v>69</v>
      </c>
      <c r="H20" s="1">
        <v>34</v>
      </c>
      <c r="I20" s="1">
        <v>117</v>
      </c>
      <c r="J20" s="1">
        <v>0.80771380121016001</v>
      </c>
      <c r="K20" s="1">
        <f t="shared" si="0"/>
        <v>641</v>
      </c>
      <c r="L20" s="1">
        <f t="shared" si="1"/>
        <v>103</v>
      </c>
      <c r="M20" s="1">
        <f t="shared" si="2"/>
        <v>0.79704301075268813</v>
      </c>
      <c r="N20" s="1">
        <f t="shared" si="3"/>
        <v>0.93906810035842292</v>
      </c>
      <c r="O20" s="1">
        <f t="shared" si="9"/>
        <v>0.81747269890795626</v>
      </c>
      <c r="P20" s="1">
        <f t="shared" si="4"/>
        <v>0.66990291262135926</v>
      </c>
      <c r="Q20" s="1">
        <f t="shared" si="5"/>
        <v>0.87406171809841537</v>
      </c>
      <c r="R20">
        <f t="shared" si="6"/>
        <v>0.36421052631578948</v>
      </c>
      <c r="S20">
        <f t="shared" si="7"/>
        <v>0.388720861588363</v>
      </c>
    </row>
    <row r="21" spans="1:19" x14ac:dyDescent="0.35">
      <c r="A21" s="1" t="s">
        <v>14</v>
      </c>
      <c r="B21" s="1" t="s">
        <v>13</v>
      </c>
      <c r="C21" s="1" t="s">
        <v>12</v>
      </c>
      <c r="D21" s="1">
        <v>2679</v>
      </c>
      <c r="E21" s="1">
        <v>186</v>
      </c>
      <c r="F21" s="1">
        <v>2435</v>
      </c>
      <c r="G21" s="1">
        <v>33</v>
      </c>
      <c r="H21" s="1">
        <v>182</v>
      </c>
      <c r="I21" s="1">
        <v>29</v>
      </c>
      <c r="J21" s="1">
        <v>0.86663502902856004</v>
      </c>
      <c r="K21" s="1">
        <f t="shared" si="0"/>
        <v>2464</v>
      </c>
      <c r="L21" s="1">
        <f t="shared" si="1"/>
        <v>215</v>
      </c>
      <c r="M21" s="1">
        <f t="shared" si="2"/>
        <v>0.92123926838372527</v>
      </c>
      <c r="N21" s="1">
        <f t="shared" si="3"/>
        <v>0.93045471914405808</v>
      </c>
      <c r="O21" s="1">
        <f t="shared" si="9"/>
        <v>0.98823051948051943</v>
      </c>
      <c r="P21" s="1">
        <f t="shared" si="4"/>
        <v>0.15348837209302327</v>
      </c>
      <c r="Q21" s="1">
        <f t="shared" si="5"/>
        <v>0.95847274158630191</v>
      </c>
      <c r="R21">
        <f t="shared" si="6"/>
        <v>0.20988142679226135</v>
      </c>
      <c r="S21">
        <f t="shared" si="7"/>
        <v>0.25607643940282793</v>
      </c>
    </row>
    <row r="22" spans="1:19" x14ac:dyDescent="0.35">
      <c r="A22" s="1" t="s">
        <v>15</v>
      </c>
      <c r="B22" s="1" t="s">
        <v>11</v>
      </c>
      <c r="C22" s="1" t="s">
        <v>12</v>
      </c>
      <c r="D22" s="1">
        <v>744</v>
      </c>
      <c r="E22" s="1">
        <v>186</v>
      </c>
      <c r="F22" s="1">
        <v>558</v>
      </c>
      <c r="G22" s="1">
        <v>186</v>
      </c>
      <c r="H22" s="1">
        <v>0</v>
      </c>
      <c r="I22" s="1">
        <v>0</v>
      </c>
      <c r="J22" s="1">
        <v>1</v>
      </c>
      <c r="K22" s="1">
        <f t="shared" si="0"/>
        <v>558</v>
      </c>
      <c r="L22" s="1">
        <f t="shared" si="1"/>
        <v>186</v>
      </c>
      <c r="M22" s="1">
        <f t="shared" si="2"/>
        <v>1</v>
      </c>
      <c r="N22" s="1">
        <f t="shared" si="3"/>
        <v>1</v>
      </c>
      <c r="O22" s="1">
        <f t="shared" si="9"/>
        <v>1</v>
      </c>
      <c r="P22" s="1">
        <f t="shared" si="4"/>
        <v>1</v>
      </c>
      <c r="Q22" s="1">
        <f t="shared" si="5"/>
        <v>1</v>
      </c>
      <c r="R22">
        <f t="shared" si="6"/>
        <v>1</v>
      </c>
      <c r="S22">
        <f t="shared" si="7"/>
        <v>1</v>
      </c>
    </row>
    <row r="23" spans="1:19" x14ac:dyDescent="0.35">
      <c r="A23" s="1" t="s">
        <v>15</v>
      </c>
      <c r="B23" s="1" t="s">
        <v>13</v>
      </c>
      <c r="C23" s="1" t="s">
        <v>12</v>
      </c>
      <c r="D23" s="1">
        <v>2679</v>
      </c>
      <c r="E23" s="1">
        <v>186</v>
      </c>
      <c r="F23" s="1">
        <v>2114</v>
      </c>
      <c r="G23" s="1">
        <v>30</v>
      </c>
      <c r="H23" s="1">
        <v>503</v>
      </c>
      <c r="I23" s="1">
        <v>32</v>
      </c>
      <c r="J23" s="1">
        <v>0.64583307653431998</v>
      </c>
      <c r="K23" s="1">
        <f t="shared" si="0"/>
        <v>2146</v>
      </c>
      <c r="L23" s="1">
        <f t="shared" si="1"/>
        <v>533</v>
      </c>
      <c r="M23" s="1">
        <f t="shared" si="2"/>
        <v>0.80029861888764464</v>
      </c>
      <c r="N23" s="1">
        <f t="shared" si="3"/>
        <v>0.80779518532671002</v>
      </c>
      <c r="O23" s="1">
        <f t="shared" si="9"/>
        <v>0.98508853681267472</v>
      </c>
      <c r="P23" s="1">
        <f t="shared" si="4"/>
        <v>5.6285178236397747E-2</v>
      </c>
      <c r="Q23" s="1">
        <f t="shared" si="5"/>
        <v>0.88767583455805166</v>
      </c>
      <c r="R23">
        <f t="shared" si="6"/>
        <v>6.1945935403390114E-2</v>
      </c>
      <c r="S23">
        <f t="shared" si="7"/>
        <v>0.1098513190932239</v>
      </c>
    </row>
    <row r="24" spans="1:19" x14ac:dyDescent="0.35">
      <c r="A24" s="1" t="s">
        <v>16</v>
      </c>
      <c r="B24" s="1" t="s">
        <v>11</v>
      </c>
      <c r="C24" s="1" t="s">
        <v>12</v>
      </c>
      <c r="D24" s="1">
        <v>744</v>
      </c>
      <c r="E24" s="1">
        <v>186</v>
      </c>
      <c r="F24" s="1">
        <v>558</v>
      </c>
      <c r="G24" s="1">
        <v>186</v>
      </c>
      <c r="H24" s="1">
        <v>0</v>
      </c>
      <c r="I24" s="1">
        <v>0</v>
      </c>
      <c r="J24" s="1">
        <v>1</v>
      </c>
      <c r="K24" s="1">
        <f t="shared" si="0"/>
        <v>558</v>
      </c>
      <c r="L24" s="1">
        <f t="shared" si="1"/>
        <v>186</v>
      </c>
      <c r="M24" s="1">
        <f t="shared" si="2"/>
        <v>1</v>
      </c>
      <c r="N24" s="1">
        <f t="shared" si="3"/>
        <v>1</v>
      </c>
      <c r="O24" s="1">
        <f t="shared" si="9"/>
        <v>1</v>
      </c>
      <c r="P24" s="1">
        <f t="shared" si="4"/>
        <v>1</v>
      </c>
      <c r="Q24" s="1">
        <f t="shared" si="5"/>
        <v>1</v>
      </c>
      <c r="R24">
        <f t="shared" si="6"/>
        <v>1</v>
      </c>
      <c r="S24">
        <f t="shared" si="7"/>
        <v>1</v>
      </c>
    </row>
    <row r="25" spans="1:19" x14ac:dyDescent="0.35">
      <c r="A25" s="1" t="s">
        <v>16</v>
      </c>
      <c r="B25" s="1" t="s">
        <v>13</v>
      </c>
      <c r="C25" s="1" t="s">
        <v>12</v>
      </c>
      <c r="D25" s="1">
        <v>2679</v>
      </c>
      <c r="E25" s="1">
        <v>186</v>
      </c>
      <c r="F25" s="1">
        <v>2460</v>
      </c>
      <c r="G25" s="1">
        <v>31</v>
      </c>
      <c r="H25" s="1">
        <v>157</v>
      </c>
      <c r="I25" s="1">
        <v>31</v>
      </c>
      <c r="J25" s="1">
        <v>0.87214799018821998</v>
      </c>
      <c r="K25" s="1">
        <f t="shared" si="0"/>
        <v>2491</v>
      </c>
      <c r="L25" s="1">
        <f t="shared" si="1"/>
        <v>188</v>
      </c>
      <c r="M25" s="1">
        <f t="shared" si="2"/>
        <v>0.92982456140350878</v>
      </c>
      <c r="N25" s="1">
        <f t="shared" si="3"/>
        <v>0.9400076423385556</v>
      </c>
      <c r="O25" s="1">
        <f t="shared" si="9"/>
        <v>0.98755519871537534</v>
      </c>
      <c r="P25" s="1">
        <f t="shared" si="4"/>
        <v>0.16489361702127658</v>
      </c>
      <c r="Q25" s="1">
        <f t="shared" si="5"/>
        <v>0.96319498825371963</v>
      </c>
      <c r="R25">
        <f t="shared" si="6"/>
        <v>0.22088119819688817</v>
      </c>
      <c r="S25">
        <f t="shared" si="7"/>
        <v>0.25899545167741678</v>
      </c>
    </row>
    <row r="26" spans="1:19" x14ac:dyDescent="0.35">
      <c r="A26" s="1" t="s">
        <v>17</v>
      </c>
      <c r="B26" s="1" t="s">
        <v>11</v>
      </c>
      <c r="C26" s="1" t="s">
        <v>12</v>
      </c>
      <c r="D26" s="1">
        <v>744</v>
      </c>
      <c r="E26" s="1">
        <v>186</v>
      </c>
      <c r="F26" s="1">
        <v>522</v>
      </c>
      <c r="G26" s="1">
        <v>99</v>
      </c>
      <c r="H26" s="1">
        <v>36</v>
      </c>
      <c r="I26" s="1">
        <v>87</v>
      </c>
      <c r="J26" s="1">
        <v>0.88463984275638996</v>
      </c>
      <c r="K26" s="1">
        <f t="shared" si="0"/>
        <v>609</v>
      </c>
      <c r="L26" s="1">
        <f t="shared" si="1"/>
        <v>135</v>
      </c>
      <c r="M26" s="1">
        <f t="shared" si="2"/>
        <v>0.83467741935483875</v>
      </c>
      <c r="N26" s="1">
        <f t="shared" si="3"/>
        <v>0.93548387096774188</v>
      </c>
      <c r="O26" s="1">
        <f t="shared" si="9"/>
        <v>0.8571428571428571</v>
      </c>
      <c r="P26" s="1">
        <f t="shared" si="4"/>
        <v>0.73333333333333328</v>
      </c>
      <c r="Q26" s="1">
        <f t="shared" si="5"/>
        <v>0.8946015424164524</v>
      </c>
      <c r="R26">
        <f t="shared" si="6"/>
        <v>0.51479289940828399</v>
      </c>
      <c r="S26">
        <f t="shared" si="7"/>
        <v>0.52553827281224363</v>
      </c>
    </row>
    <row r="27" spans="1:19" x14ac:dyDescent="0.35">
      <c r="A27" s="1" t="s">
        <v>17</v>
      </c>
      <c r="B27" s="1" t="s">
        <v>13</v>
      </c>
      <c r="C27" s="1" t="s">
        <v>12</v>
      </c>
      <c r="D27" s="1">
        <v>2679</v>
      </c>
      <c r="E27" s="1">
        <v>186</v>
      </c>
      <c r="F27" s="1">
        <v>2318</v>
      </c>
      <c r="G27" s="1">
        <v>36</v>
      </c>
      <c r="H27" s="1">
        <v>299</v>
      </c>
      <c r="I27" s="1">
        <v>26</v>
      </c>
      <c r="J27" s="1">
        <v>0.81423262292455001</v>
      </c>
      <c r="K27" s="1">
        <f t="shared" si="0"/>
        <v>2344</v>
      </c>
      <c r="L27" s="1">
        <f t="shared" si="1"/>
        <v>335</v>
      </c>
      <c r="M27" s="1">
        <f t="shared" si="2"/>
        <v>0.87868607689436362</v>
      </c>
      <c r="N27" s="1">
        <f t="shared" si="3"/>
        <v>0.88574703859380965</v>
      </c>
      <c r="O27" s="1">
        <f t="shared" si="9"/>
        <v>0.98890784982935154</v>
      </c>
      <c r="P27" s="1">
        <f t="shared" si="4"/>
        <v>0.10746268656716418</v>
      </c>
      <c r="Q27" s="1">
        <f t="shared" si="5"/>
        <v>0.93448901431163067</v>
      </c>
      <c r="R27">
        <f t="shared" si="6"/>
        <v>0.14808668689452195</v>
      </c>
      <c r="S27">
        <f t="shared" si="7"/>
        <v>0.21200581707581706</v>
      </c>
    </row>
    <row r="28" spans="1:19" x14ac:dyDescent="0.35">
      <c r="A28" s="1" t="s">
        <v>18</v>
      </c>
      <c r="B28" s="1" t="s">
        <v>11</v>
      </c>
      <c r="C28" s="1" t="s">
        <v>12</v>
      </c>
      <c r="D28" s="1">
        <v>744</v>
      </c>
      <c r="E28" s="1">
        <v>186</v>
      </c>
      <c r="F28" s="1">
        <v>498</v>
      </c>
      <c r="G28" s="1">
        <v>77</v>
      </c>
      <c r="H28" s="1">
        <v>60</v>
      </c>
      <c r="I28" s="1">
        <v>109</v>
      </c>
      <c r="J28" s="1">
        <v>0.79171002428026005</v>
      </c>
      <c r="K28" s="1">
        <f t="shared" si="0"/>
        <v>607</v>
      </c>
      <c r="L28" s="1">
        <f t="shared" si="1"/>
        <v>137</v>
      </c>
      <c r="M28" s="1">
        <f t="shared" si="2"/>
        <v>0.77284946236559138</v>
      </c>
      <c r="N28" s="1">
        <f t="shared" si="3"/>
        <v>0.89247311827956988</v>
      </c>
      <c r="O28" s="1">
        <f t="shared" si="9"/>
        <v>0.82042833607907739</v>
      </c>
      <c r="P28" s="1">
        <f t="shared" si="4"/>
        <v>0.56204379562043794</v>
      </c>
      <c r="Q28" s="1">
        <f t="shared" si="5"/>
        <v>0.85493562231759657</v>
      </c>
      <c r="R28">
        <f t="shared" si="6"/>
        <v>0.33595284872298625</v>
      </c>
      <c r="S28">
        <f t="shared" si="7"/>
        <v>0.34235829426180325</v>
      </c>
    </row>
    <row r="29" spans="1:19" x14ac:dyDescent="0.35">
      <c r="A29" s="1" t="s">
        <v>18</v>
      </c>
      <c r="B29" s="1" t="s">
        <v>13</v>
      </c>
      <c r="C29" s="1" t="s">
        <v>12</v>
      </c>
      <c r="D29" s="1">
        <v>2679</v>
      </c>
      <c r="E29" s="1">
        <v>186</v>
      </c>
      <c r="F29" s="1">
        <v>2299</v>
      </c>
      <c r="G29" s="1">
        <v>31</v>
      </c>
      <c r="H29" s="1">
        <v>318</v>
      </c>
      <c r="I29" s="1">
        <v>31</v>
      </c>
      <c r="J29" s="1">
        <v>0.83559727341083001</v>
      </c>
      <c r="K29" s="1">
        <f t="shared" si="0"/>
        <v>2330</v>
      </c>
      <c r="L29" s="1">
        <f t="shared" si="1"/>
        <v>349</v>
      </c>
      <c r="M29" s="1">
        <f t="shared" si="2"/>
        <v>0.86972751026502426</v>
      </c>
      <c r="N29" s="1">
        <f t="shared" si="3"/>
        <v>0.87848681696599162</v>
      </c>
      <c r="O29" s="1">
        <f t="shared" si="9"/>
        <v>0.98669527896995712</v>
      </c>
      <c r="P29" s="1">
        <f t="shared" si="4"/>
        <v>8.882521489971347E-2</v>
      </c>
      <c r="Q29" s="1">
        <f t="shared" si="5"/>
        <v>0.92945219324843342</v>
      </c>
      <c r="R29">
        <f t="shared" si="6"/>
        <v>0.11611156436089103</v>
      </c>
      <c r="S29">
        <f t="shared" si="7"/>
        <v>0.1690665884804898</v>
      </c>
    </row>
    <row r="30" spans="1:19" x14ac:dyDescent="0.35">
      <c r="A30" s="1" t="s">
        <v>19</v>
      </c>
      <c r="B30" s="1" t="s">
        <v>11</v>
      </c>
      <c r="C30" s="1" t="s">
        <v>12</v>
      </c>
      <c r="D30" s="1">
        <v>744</v>
      </c>
      <c r="E30" s="1">
        <v>186</v>
      </c>
      <c r="F30" s="1">
        <v>541</v>
      </c>
      <c r="G30" s="1">
        <v>47</v>
      </c>
      <c r="H30" s="1">
        <v>17</v>
      </c>
      <c r="I30" s="1">
        <v>139</v>
      </c>
      <c r="J30" s="1">
        <v>0.80650942305468998</v>
      </c>
      <c r="K30" s="1">
        <f t="shared" si="0"/>
        <v>680</v>
      </c>
      <c r="L30" s="1">
        <f t="shared" si="1"/>
        <v>64</v>
      </c>
      <c r="M30" s="1">
        <f t="shared" si="2"/>
        <v>0.79032258064516125</v>
      </c>
      <c r="N30" s="1">
        <f t="shared" si="3"/>
        <v>0.96953405017921146</v>
      </c>
      <c r="O30" s="1">
        <f t="shared" si="9"/>
        <v>0.7955882352941176</v>
      </c>
      <c r="P30" s="1">
        <f t="shared" si="4"/>
        <v>0.734375</v>
      </c>
      <c r="Q30" s="1">
        <f t="shared" si="5"/>
        <v>0.87399030694668822</v>
      </c>
      <c r="R30">
        <f t="shared" si="6"/>
        <v>0.28440366972477066</v>
      </c>
      <c r="S30">
        <f t="shared" si="7"/>
        <v>0.34317576814678691</v>
      </c>
    </row>
    <row r="31" spans="1:19" x14ac:dyDescent="0.35">
      <c r="A31" s="1" t="s">
        <v>19</v>
      </c>
      <c r="B31" s="1" t="s">
        <v>13</v>
      </c>
      <c r="C31" s="1" t="s">
        <v>12</v>
      </c>
      <c r="D31" s="1">
        <v>2679</v>
      </c>
      <c r="E31" s="1">
        <v>186</v>
      </c>
      <c r="F31" s="1">
        <v>2504</v>
      </c>
      <c r="G31" s="1">
        <v>24</v>
      </c>
      <c r="H31" s="1">
        <v>113</v>
      </c>
      <c r="I31" s="1">
        <v>38</v>
      </c>
      <c r="J31" s="1">
        <v>0.86557496271278</v>
      </c>
      <c r="K31" s="1">
        <f t="shared" si="0"/>
        <v>2542</v>
      </c>
      <c r="L31" s="1">
        <f t="shared" si="1"/>
        <v>137</v>
      </c>
      <c r="M31" s="1">
        <f t="shared" si="2"/>
        <v>0.94363568495707351</v>
      </c>
      <c r="N31" s="1">
        <f t="shared" si="3"/>
        <v>0.95682078716087127</v>
      </c>
      <c r="O31" s="1">
        <f t="shared" si="9"/>
        <v>0.98505114083398904</v>
      </c>
      <c r="P31" s="1">
        <f t="shared" si="4"/>
        <v>0.17518248175182483</v>
      </c>
      <c r="Q31" s="1">
        <f t="shared" si="5"/>
        <v>0.97073076177553785</v>
      </c>
      <c r="R31">
        <f t="shared" si="6"/>
        <v>0.21623108772351313</v>
      </c>
      <c r="S31">
        <f t="shared" si="7"/>
        <v>0.23474913573152412</v>
      </c>
    </row>
    <row r="32" spans="1:19" x14ac:dyDescent="0.35">
      <c r="A32" s="1" t="s">
        <v>20</v>
      </c>
      <c r="B32" s="1" t="s">
        <v>11</v>
      </c>
      <c r="C32" s="1" t="s">
        <v>12</v>
      </c>
      <c r="D32" s="1">
        <v>744</v>
      </c>
      <c r="E32" s="1">
        <v>186</v>
      </c>
      <c r="F32" s="1">
        <v>554</v>
      </c>
      <c r="G32" s="1">
        <v>144</v>
      </c>
      <c r="H32" s="1">
        <v>4</v>
      </c>
      <c r="I32" s="1">
        <v>42</v>
      </c>
      <c r="J32" s="1">
        <v>0.98363009211083996</v>
      </c>
      <c r="K32" s="1">
        <f t="shared" si="0"/>
        <v>596</v>
      </c>
      <c r="L32" s="1">
        <f t="shared" si="1"/>
        <v>148</v>
      </c>
      <c r="M32" s="1">
        <f t="shared" si="2"/>
        <v>0.93817204301075274</v>
      </c>
      <c r="N32" s="1">
        <f t="shared" si="3"/>
        <v>0.99283154121863804</v>
      </c>
      <c r="O32" s="1">
        <f t="shared" si="9"/>
        <v>0.92953020134228193</v>
      </c>
      <c r="P32" s="1">
        <f t="shared" si="4"/>
        <v>0.97297297297297303</v>
      </c>
      <c r="Q32" s="1">
        <f t="shared" si="5"/>
        <v>0.96013864818024264</v>
      </c>
      <c r="R32">
        <f t="shared" si="6"/>
        <v>0.82307692307692304</v>
      </c>
      <c r="S32">
        <f t="shared" si="7"/>
        <v>0.83201116467786562</v>
      </c>
    </row>
    <row r="33" spans="1:19" x14ac:dyDescent="0.35">
      <c r="A33" s="1" t="s">
        <v>20</v>
      </c>
      <c r="B33" s="1" t="s">
        <v>13</v>
      </c>
      <c r="C33" s="1" t="s">
        <v>12</v>
      </c>
      <c r="D33" s="1">
        <v>2679</v>
      </c>
      <c r="E33" s="1">
        <v>186</v>
      </c>
      <c r="F33" s="1">
        <v>2423</v>
      </c>
      <c r="G33" s="1">
        <v>35</v>
      </c>
      <c r="H33" s="1">
        <v>194</v>
      </c>
      <c r="I33" s="1">
        <v>27</v>
      </c>
      <c r="J33" s="1">
        <v>0.86139632921221998</v>
      </c>
      <c r="K33" s="1">
        <f t="shared" si="0"/>
        <v>2450</v>
      </c>
      <c r="L33" s="1">
        <f t="shared" si="1"/>
        <v>229</v>
      </c>
      <c r="M33" s="1">
        <f t="shared" si="2"/>
        <v>0.91750653228816725</v>
      </c>
      <c r="N33" s="1">
        <f t="shared" si="3"/>
        <v>0.92586931601069933</v>
      </c>
      <c r="O33" s="1">
        <f t="shared" si="9"/>
        <v>0.98897959183673467</v>
      </c>
      <c r="P33" s="1">
        <f t="shared" si="4"/>
        <v>0.15283842794759825</v>
      </c>
      <c r="Q33" s="1">
        <f t="shared" si="5"/>
        <v>0.95638444839155323</v>
      </c>
      <c r="R33">
        <f t="shared" si="6"/>
        <v>0.21184169714041531</v>
      </c>
      <c r="S33">
        <f t="shared" si="7"/>
        <v>0.26371479432722583</v>
      </c>
    </row>
    <row r="34" spans="1:19" x14ac:dyDescent="0.35">
      <c r="A34" s="1" t="s">
        <v>10</v>
      </c>
      <c r="B34" s="1" t="s">
        <v>11</v>
      </c>
      <c r="C34" s="1" t="s">
        <v>12</v>
      </c>
      <c r="D34" s="1">
        <v>744</v>
      </c>
      <c r="E34" s="1">
        <v>186</v>
      </c>
      <c r="F34" s="1">
        <v>520</v>
      </c>
      <c r="G34" s="1">
        <v>73</v>
      </c>
      <c r="H34" s="1">
        <v>38</v>
      </c>
      <c r="I34" s="1">
        <v>113</v>
      </c>
      <c r="J34" s="1">
        <v>0.83851697691448002</v>
      </c>
      <c r="K34" s="1">
        <f t="shared" si="0"/>
        <v>633</v>
      </c>
      <c r="L34" s="1">
        <f t="shared" si="1"/>
        <v>111</v>
      </c>
      <c r="M34" s="1">
        <f t="shared" si="2"/>
        <v>0.79704301075268813</v>
      </c>
      <c r="N34" s="1">
        <f t="shared" si="3"/>
        <v>0.93189964157706096</v>
      </c>
      <c r="O34" s="1">
        <f t="shared" si="9"/>
        <v>0.82148499210110582</v>
      </c>
      <c r="P34" s="1">
        <f t="shared" si="4"/>
        <v>0.65765765765765771</v>
      </c>
      <c r="Q34" s="1">
        <f t="shared" si="5"/>
        <v>0.87321578505457598</v>
      </c>
      <c r="R34">
        <f t="shared" si="6"/>
        <v>0.37474120082815737</v>
      </c>
      <c r="S34">
        <f t="shared" si="7"/>
        <v>0.39423447802959749</v>
      </c>
    </row>
    <row r="35" spans="1:19" x14ac:dyDescent="0.35">
      <c r="A35" s="1" t="s">
        <v>10</v>
      </c>
      <c r="B35" s="1" t="s">
        <v>13</v>
      </c>
      <c r="C35" s="1" t="s">
        <v>12</v>
      </c>
      <c r="D35" s="1">
        <v>2679</v>
      </c>
      <c r="E35" s="1">
        <v>186</v>
      </c>
      <c r="F35" s="1">
        <v>2430</v>
      </c>
      <c r="G35" s="1">
        <v>21</v>
      </c>
      <c r="H35" s="1">
        <v>187</v>
      </c>
      <c r="I35" s="1">
        <v>41</v>
      </c>
      <c r="J35" s="1">
        <v>0.76204592798945003</v>
      </c>
      <c r="K35" s="1">
        <f t="shared" si="0"/>
        <v>2471</v>
      </c>
      <c r="L35" s="1">
        <f t="shared" si="1"/>
        <v>208</v>
      </c>
      <c r="M35" s="1">
        <f t="shared" si="2"/>
        <v>0.91489361702127658</v>
      </c>
      <c r="N35" s="1">
        <f t="shared" si="3"/>
        <v>0.9285441345051586</v>
      </c>
      <c r="O35" s="1">
        <f t="shared" si="9"/>
        <v>0.98340752731687575</v>
      </c>
      <c r="P35" s="1">
        <f t="shared" si="4"/>
        <v>0.10096153846153846</v>
      </c>
      <c r="Q35" s="1">
        <f t="shared" si="5"/>
        <v>0.95518867924528306</v>
      </c>
      <c r="R35">
        <f t="shared" si="6"/>
        <v>0.12433157763448013</v>
      </c>
      <c r="S35">
        <f t="shared" si="7"/>
        <v>0.15015976304520201</v>
      </c>
    </row>
    <row r="36" spans="1:19" x14ac:dyDescent="0.35">
      <c r="A36" s="1" t="s">
        <v>14</v>
      </c>
      <c r="B36" s="1" t="s">
        <v>11</v>
      </c>
      <c r="C36" s="1" t="s">
        <v>12</v>
      </c>
      <c r="D36" s="1">
        <v>744</v>
      </c>
      <c r="E36" s="1">
        <v>186</v>
      </c>
      <c r="F36" s="1">
        <v>522</v>
      </c>
      <c r="G36" s="1">
        <v>75</v>
      </c>
      <c r="H36" s="1">
        <v>36</v>
      </c>
      <c r="I36" s="1">
        <v>111</v>
      </c>
      <c r="J36" s="1">
        <v>0.84010675607969998</v>
      </c>
      <c r="K36" s="1">
        <f t="shared" si="0"/>
        <v>633</v>
      </c>
      <c r="L36" s="1">
        <f t="shared" si="1"/>
        <v>111</v>
      </c>
      <c r="M36" s="1">
        <f t="shared" si="2"/>
        <v>0.80241935483870963</v>
      </c>
      <c r="N36" s="1">
        <f t="shared" si="3"/>
        <v>0.93548387096774188</v>
      </c>
      <c r="O36" s="1">
        <f t="shared" si="9"/>
        <v>0.82464454976303314</v>
      </c>
      <c r="P36" s="1">
        <f t="shared" si="4"/>
        <v>0.67567567567567566</v>
      </c>
      <c r="Q36" s="1">
        <f t="shared" si="5"/>
        <v>0.87657430730478592</v>
      </c>
      <c r="R36">
        <f t="shared" si="6"/>
        <v>0.39130434782608697</v>
      </c>
      <c r="S36">
        <f t="shared" si="7"/>
        <v>0.4116592063402979</v>
      </c>
    </row>
    <row r="37" spans="1:19" x14ac:dyDescent="0.35">
      <c r="A37" s="1" t="s">
        <v>14</v>
      </c>
      <c r="B37" s="1" t="s">
        <v>13</v>
      </c>
      <c r="C37" s="1" t="s">
        <v>12</v>
      </c>
      <c r="D37" s="1">
        <v>2679</v>
      </c>
      <c r="E37" s="1">
        <v>186</v>
      </c>
      <c r="F37" s="1">
        <v>2424</v>
      </c>
      <c r="G37" s="1">
        <v>20</v>
      </c>
      <c r="H37" s="1">
        <v>193</v>
      </c>
      <c r="I37" s="1">
        <v>42</v>
      </c>
      <c r="J37" s="1">
        <v>0.76346345852799002</v>
      </c>
      <c r="K37" s="1">
        <f t="shared" si="0"/>
        <v>2466</v>
      </c>
      <c r="L37" s="1">
        <f t="shared" si="1"/>
        <v>213</v>
      </c>
      <c r="M37" s="1">
        <f t="shared" si="2"/>
        <v>0.91228070175438591</v>
      </c>
      <c r="N37" s="1">
        <f t="shared" si="3"/>
        <v>0.92625143293847922</v>
      </c>
      <c r="O37" s="1">
        <f t="shared" si="9"/>
        <v>0.98296836982968372</v>
      </c>
      <c r="P37" s="1">
        <f t="shared" si="4"/>
        <v>9.3896713615023469E-2</v>
      </c>
      <c r="Q37" s="1">
        <f t="shared" si="5"/>
        <v>0.95376746016132208</v>
      </c>
      <c r="R37">
        <f t="shared" si="6"/>
        <v>0.11367946243416635</v>
      </c>
      <c r="S37">
        <f t="shared" si="7"/>
        <v>0.13829858439933024</v>
      </c>
    </row>
    <row r="38" spans="1:19" x14ac:dyDescent="0.35">
      <c r="A38" s="1" t="s">
        <v>15</v>
      </c>
      <c r="B38" s="1" t="s">
        <v>11</v>
      </c>
      <c r="C38" s="1" t="s">
        <v>12</v>
      </c>
      <c r="D38" s="1">
        <v>744</v>
      </c>
      <c r="E38" s="1">
        <v>186</v>
      </c>
      <c r="F38" s="1">
        <v>558</v>
      </c>
      <c r="G38" s="1">
        <v>186</v>
      </c>
      <c r="H38" s="1">
        <v>0</v>
      </c>
      <c r="I38" s="1">
        <v>0</v>
      </c>
      <c r="J38" s="1">
        <v>1</v>
      </c>
      <c r="K38" s="1">
        <f t="shared" si="0"/>
        <v>558</v>
      </c>
      <c r="L38" s="1">
        <f t="shared" si="1"/>
        <v>186</v>
      </c>
      <c r="M38" s="1">
        <f t="shared" si="2"/>
        <v>1</v>
      </c>
      <c r="N38" s="1">
        <f t="shared" si="3"/>
        <v>1</v>
      </c>
      <c r="O38" s="1">
        <f t="shared" si="9"/>
        <v>1</v>
      </c>
      <c r="P38" s="1">
        <f t="shared" si="4"/>
        <v>1</v>
      </c>
      <c r="Q38" s="1">
        <f t="shared" si="5"/>
        <v>1</v>
      </c>
      <c r="R38">
        <f t="shared" si="6"/>
        <v>1</v>
      </c>
      <c r="S38">
        <f t="shared" si="7"/>
        <v>1</v>
      </c>
    </row>
    <row r="39" spans="1:19" x14ac:dyDescent="0.35">
      <c r="A39" s="1" t="s">
        <v>15</v>
      </c>
      <c r="B39" s="1" t="s">
        <v>13</v>
      </c>
      <c r="C39" s="1" t="s">
        <v>12</v>
      </c>
      <c r="D39" s="1">
        <v>2679</v>
      </c>
      <c r="E39" s="1">
        <v>186</v>
      </c>
      <c r="F39" s="1">
        <v>2187</v>
      </c>
      <c r="G39" s="1">
        <v>24</v>
      </c>
      <c r="H39" s="1">
        <v>430</v>
      </c>
      <c r="I39" s="1">
        <v>38</v>
      </c>
      <c r="J39" s="1">
        <v>0.61139324762409997</v>
      </c>
      <c r="K39" s="1">
        <f t="shared" si="0"/>
        <v>2225</v>
      </c>
      <c r="L39" s="1">
        <f t="shared" si="1"/>
        <v>454</v>
      </c>
      <c r="M39" s="1">
        <f t="shared" si="2"/>
        <v>0.82530795072788354</v>
      </c>
      <c r="N39" s="1">
        <f t="shared" si="3"/>
        <v>0.83568972105464268</v>
      </c>
      <c r="O39" s="1">
        <f t="shared" si="9"/>
        <v>0.98292134831460676</v>
      </c>
      <c r="P39" s="1">
        <f t="shared" si="4"/>
        <v>5.2863436123348019E-2</v>
      </c>
      <c r="Q39" s="1">
        <f t="shared" si="5"/>
        <v>0.90334572490706322</v>
      </c>
      <c r="R39">
        <f t="shared" si="6"/>
        <v>5.4519074436605058E-2</v>
      </c>
      <c r="S39">
        <f t="shared" si="7"/>
        <v>8.9288110676304211E-2</v>
      </c>
    </row>
    <row r="40" spans="1:19" x14ac:dyDescent="0.35">
      <c r="A40" s="1" t="s">
        <v>16</v>
      </c>
      <c r="B40" s="1" t="s">
        <v>11</v>
      </c>
      <c r="C40" s="1" t="s">
        <v>12</v>
      </c>
      <c r="D40" s="1">
        <v>744</v>
      </c>
      <c r="E40" s="1">
        <v>186</v>
      </c>
      <c r="F40" s="1">
        <v>558</v>
      </c>
      <c r="G40" s="1">
        <v>186</v>
      </c>
      <c r="H40" s="1">
        <v>0</v>
      </c>
      <c r="I40" s="1">
        <v>0</v>
      </c>
      <c r="J40" s="1">
        <v>1</v>
      </c>
      <c r="K40" s="1">
        <f t="shared" si="0"/>
        <v>558</v>
      </c>
      <c r="L40" s="1">
        <f t="shared" si="1"/>
        <v>186</v>
      </c>
      <c r="M40" s="1">
        <f t="shared" si="2"/>
        <v>1</v>
      </c>
      <c r="N40" s="1">
        <f t="shared" si="3"/>
        <v>1</v>
      </c>
      <c r="O40" s="1">
        <f t="shared" si="9"/>
        <v>1</v>
      </c>
      <c r="P40" s="1">
        <f t="shared" si="4"/>
        <v>1</v>
      </c>
      <c r="Q40" s="1">
        <f t="shared" si="5"/>
        <v>1</v>
      </c>
      <c r="R40">
        <f t="shared" si="6"/>
        <v>1</v>
      </c>
      <c r="S40">
        <f t="shared" si="7"/>
        <v>1</v>
      </c>
    </row>
    <row r="41" spans="1:19" x14ac:dyDescent="0.35">
      <c r="A41" s="1" t="s">
        <v>16</v>
      </c>
      <c r="B41" s="1" t="s">
        <v>13</v>
      </c>
      <c r="C41" s="1" t="s">
        <v>12</v>
      </c>
      <c r="D41" s="1">
        <v>2679</v>
      </c>
      <c r="E41" s="1">
        <v>186</v>
      </c>
      <c r="F41" s="1">
        <v>2419</v>
      </c>
      <c r="G41" s="1">
        <v>22</v>
      </c>
      <c r="H41" s="1">
        <v>198</v>
      </c>
      <c r="I41" s="1">
        <v>40</v>
      </c>
      <c r="J41" s="1">
        <v>0.75128810383719002</v>
      </c>
      <c r="K41" s="1">
        <f t="shared" si="0"/>
        <v>2459</v>
      </c>
      <c r="L41" s="1">
        <f t="shared" si="1"/>
        <v>220</v>
      </c>
      <c r="M41" s="1">
        <f t="shared" si="2"/>
        <v>0.91116088092571856</v>
      </c>
      <c r="N41" s="1">
        <f t="shared" si="3"/>
        <v>0.92434084829957963</v>
      </c>
      <c r="O41" s="1">
        <f t="shared" si="9"/>
        <v>0.98373322488816595</v>
      </c>
      <c r="P41" s="1">
        <f t="shared" si="4"/>
        <v>0.1</v>
      </c>
      <c r="Q41" s="1">
        <f t="shared" si="5"/>
        <v>0.95311268715524033</v>
      </c>
      <c r="R41">
        <f t="shared" si="6"/>
        <v>0.12441121782811818</v>
      </c>
      <c r="S41">
        <f t="shared" si="7"/>
        <v>0.15289409639442206</v>
      </c>
    </row>
    <row r="42" spans="1:19" x14ac:dyDescent="0.35">
      <c r="A42" s="1" t="s">
        <v>17</v>
      </c>
      <c r="B42" s="1" t="s">
        <v>11</v>
      </c>
      <c r="C42" s="1" t="s">
        <v>12</v>
      </c>
      <c r="D42" s="1">
        <v>744</v>
      </c>
      <c r="E42" s="1">
        <v>186</v>
      </c>
      <c r="F42" s="1">
        <v>525</v>
      </c>
      <c r="G42" s="1">
        <v>110</v>
      </c>
      <c r="H42" s="1">
        <v>33</v>
      </c>
      <c r="I42" s="1">
        <v>76</v>
      </c>
      <c r="J42" s="1">
        <v>0.91413265502756003</v>
      </c>
      <c r="K42" s="1">
        <f t="shared" si="0"/>
        <v>601</v>
      </c>
      <c r="L42" s="1">
        <f t="shared" si="1"/>
        <v>143</v>
      </c>
      <c r="M42" s="1">
        <f t="shared" si="2"/>
        <v>0.853494623655914</v>
      </c>
      <c r="N42" s="1">
        <f t="shared" si="3"/>
        <v>0.94086021505376349</v>
      </c>
      <c r="O42" s="1">
        <f t="shared" si="9"/>
        <v>0.87354409317803661</v>
      </c>
      <c r="P42" s="1">
        <f t="shared" si="4"/>
        <v>0.76923076923076927</v>
      </c>
      <c r="Q42" s="1">
        <f t="shared" si="5"/>
        <v>0.90595340811044001</v>
      </c>
      <c r="R42">
        <f t="shared" si="6"/>
        <v>0.57669902912621362</v>
      </c>
      <c r="S42">
        <f t="shared" si="7"/>
        <v>0.58491204824771059</v>
      </c>
    </row>
    <row r="43" spans="1:19" x14ac:dyDescent="0.35">
      <c r="A43" s="1" t="s">
        <v>17</v>
      </c>
      <c r="B43" s="1" t="s">
        <v>13</v>
      </c>
      <c r="C43" s="1" t="s">
        <v>12</v>
      </c>
      <c r="D43" s="1">
        <v>2679</v>
      </c>
      <c r="E43" s="1">
        <v>186</v>
      </c>
      <c r="F43" s="1">
        <v>2355</v>
      </c>
      <c r="G43" s="1">
        <v>22</v>
      </c>
      <c r="H43" s="1">
        <v>262</v>
      </c>
      <c r="I43" s="1">
        <v>40</v>
      </c>
      <c r="J43" s="1">
        <v>0.69296596694071999</v>
      </c>
      <c r="K43" s="1">
        <f t="shared" si="0"/>
        <v>2395</v>
      </c>
      <c r="L43" s="1">
        <f t="shared" si="1"/>
        <v>284</v>
      </c>
      <c r="M43" s="1">
        <f t="shared" si="2"/>
        <v>0.88727136991414712</v>
      </c>
      <c r="N43" s="1">
        <f t="shared" si="3"/>
        <v>0.89988536492166604</v>
      </c>
      <c r="O43" s="1">
        <f t="shared" si="9"/>
        <v>0.98329853862212946</v>
      </c>
      <c r="P43" s="1">
        <f t="shared" si="4"/>
        <v>7.746478873239436E-2</v>
      </c>
      <c r="Q43" s="1">
        <f t="shared" si="5"/>
        <v>0.93974461292897049</v>
      </c>
      <c r="R43">
        <f t="shared" si="6"/>
        <v>9.2697467136471395E-2</v>
      </c>
      <c r="S43">
        <f t="shared" si="7"/>
        <v>0.12441013756901953</v>
      </c>
    </row>
    <row r="44" spans="1:19" x14ac:dyDescent="0.35">
      <c r="A44" s="1" t="s">
        <v>18</v>
      </c>
      <c r="B44" s="1" t="s">
        <v>11</v>
      </c>
      <c r="C44" s="1" t="s">
        <v>12</v>
      </c>
      <c r="D44" s="1">
        <v>744</v>
      </c>
      <c r="E44" s="1">
        <v>186</v>
      </c>
      <c r="F44" s="1">
        <v>492</v>
      </c>
      <c r="G44" s="1">
        <v>77</v>
      </c>
      <c r="H44" s="1">
        <v>66</v>
      </c>
      <c r="I44" s="1">
        <v>109</v>
      </c>
      <c r="J44" s="1">
        <v>0.80909160982002004</v>
      </c>
      <c r="K44" s="1">
        <f t="shared" si="0"/>
        <v>601</v>
      </c>
      <c r="L44" s="1">
        <f t="shared" si="1"/>
        <v>143</v>
      </c>
      <c r="M44" s="1">
        <f t="shared" si="2"/>
        <v>0.76478494623655913</v>
      </c>
      <c r="N44" s="1">
        <f t="shared" si="3"/>
        <v>0.88172043010752688</v>
      </c>
      <c r="O44" s="1">
        <f t="shared" si="9"/>
        <v>0.8186356073211315</v>
      </c>
      <c r="P44" s="1">
        <f t="shared" si="4"/>
        <v>0.53846153846153844</v>
      </c>
      <c r="Q44" s="1">
        <f t="shared" si="5"/>
        <v>0.84900776531492661</v>
      </c>
      <c r="R44">
        <f t="shared" si="6"/>
        <v>0.32038834951456313</v>
      </c>
      <c r="S44">
        <f t="shared" si="7"/>
        <v>0.32495113791539476</v>
      </c>
    </row>
    <row r="45" spans="1:19" x14ac:dyDescent="0.35">
      <c r="A45" s="1" t="s">
        <v>18</v>
      </c>
      <c r="B45" s="1" t="s">
        <v>13</v>
      </c>
      <c r="C45" s="1" t="s">
        <v>12</v>
      </c>
      <c r="D45" s="1">
        <v>2679</v>
      </c>
      <c r="E45" s="1">
        <v>186</v>
      </c>
      <c r="F45" s="1">
        <v>2293</v>
      </c>
      <c r="G45" s="1">
        <v>24</v>
      </c>
      <c r="H45" s="1">
        <v>324</v>
      </c>
      <c r="I45" s="1">
        <v>38</v>
      </c>
      <c r="J45" s="1">
        <v>0.73315295770828004</v>
      </c>
      <c r="K45" s="1">
        <f t="shared" si="0"/>
        <v>2331</v>
      </c>
      <c r="L45" s="1">
        <f t="shared" si="1"/>
        <v>348</v>
      </c>
      <c r="M45" s="1">
        <f t="shared" si="2"/>
        <v>0.86487495334079878</v>
      </c>
      <c r="N45" s="1">
        <f t="shared" si="3"/>
        <v>0.87619411539931213</v>
      </c>
      <c r="O45" s="1">
        <f t="shared" si="9"/>
        <v>0.98369798369798367</v>
      </c>
      <c r="P45" s="1">
        <f t="shared" si="4"/>
        <v>6.8965517241379309E-2</v>
      </c>
      <c r="Q45" s="1">
        <f t="shared" si="5"/>
        <v>0.92683912691996762</v>
      </c>
      <c r="R45">
        <f t="shared" si="6"/>
        <v>8.096751633280834E-2</v>
      </c>
      <c r="S45">
        <f t="shared" si="7"/>
        <v>0.11775321656498108</v>
      </c>
    </row>
    <row r="46" spans="1:19" x14ac:dyDescent="0.35">
      <c r="A46" s="1" t="s">
        <v>19</v>
      </c>
      <c r="B46" s="1" t="s">
        <v>11</v>
      </c>
      <c r="C46" s="1" t="s">
        <v>12</v>
      </c>
      <c r="D46" s="1">
        <v>744</v>
      </c>
      <c r="E46" s="1">
        <v>186</v>
      </c>
      <c r="F46" s="1">
        <v>530</v>
      </c>
      <c r="G46" s="1">
        <v>65</v>
      </c>
      <c r="H46" s="1">
        <v>28</v>
      </c>
      <c r="I46" s="1">
        <v>121</v>
      </c>
      <c r="J46" s="1">
        <v>0.83990442054958003</v>
      </c>
      <c r="K46" s="1">
        <f t="shared" si="0"/>
        <v>651</v>
      </c>
      <c r="L46" s="1">
        <f t="shared" si="1"/>
        <v>93</v>
      </c>
      <c r="M46" s="1">
        <f t="shared" si="2"/>
        <v>0.79973118279569888</v>
      </c>
      <c r="N46" s="1">
        <f t="shared" si="3"/>
        <v>0.94982078853046592</v>
      </c>
      <c r="O46" s="1">
        <f t="shared" si="9"/>
        <v>0.81413210445468509</v>
      </c>
      <c r="P46" s="1">
        <f t="shared" si="4"/>
        <v>0.69892473118279574</v>
      </c>
      <c r="Q46" s="1">
        <f t="shared" si="5"/>
        <v>0.87675765095119929</v>
      </c>
      <c r="R46">
        <f t="shared" si="6"/>
        <v>0.35913978494623655</v>
      </c>
      <c r="S46">
        <f t="shared" si="7"/>
        <v>0.39185363085387881</v>
      </c>
    </row>
    <row r="47" spans="1:19" x14ac:dyDescent="0.35">
      <c r="A47" s="1" t="s">
        <v>19</v>
      </c>
      <c r="B47" s="1" t="s">
        <v>13</v>
      </c>
      <c r="C47" s="1" t="s">
        <v>12</v>
      </c>
      <c r="D47" s="1">
        <v>2679</v>
      </c>
      <c r="E47" s="1">
        <v>186</v>
      </c>
      <c r="F47" s="1">
        <v>2464</v>
      </c>
      <c r="G47" s="1">
        <v>18</v>
      </c>
      <c r="H47" s="1">
        <v>153</v>
      </c>
      <c r="I47" s="1">
        <v>44</v>
      </c>
      <c r="J47" s="1">
        <v>0.76095504579240003</v>
      </c>
      <c r="K47" s="1">
        <f t="shared" si="0"/>
        <v>2508</v>
      </c>
      <c r="L47" s="1">
        <f t="shared" si="1"/>
        <v>171</v>
      </c>
      <c r="M47" s="1">
        <f t="shared" si="2"/>
        <v>0.9264650989175065</v>
      </c>
      <c r="N47" s="1">
        <f t="shared" si="3"/>
        <v>0.94153611004967519</v>
      </c>
      <c r="O47" s="1">
        <f t="shared" si="9"/>
        <v>0.98245614035087714</v>
      </c>
      <c r="P47" s="1">
        <f t="shared" si="4"/>
        <v>0.10526315789473684</v>
      </c>
      <c r="Q47" s="1">
        <f t="shared" si="5"/>
        <v>0.96156097560975606</v>
      </c>
      <c r="R47">
        <f t="shared" si="6"/>
        <v>0.12477549862936005</v>
      </c>
      <c r="S47">
        <f t="shared" si="7"/>
        <v>0.1426130486312453</v>
      </c>
    </row>
    <row r="48" spans="1:19" x14ac:dyDescent="0.35">
      <c r="A48" s="1" t="s">
        <v>20</v>
      </c>
      <c r="B48" s="1" t="s">
        <v>11</v>
      </c>
      <c r="C48" s="1" t="s">
        <v>12</v>
      </c>
      <c r="D48" s="1">
        <v>744</v>
      </c>
      <c r="E48" s="1">
        <v>186</v>
      </c>
      <c r="F48" s="1">
        <v>553</v>
      </c>
      <c r="G48" s="1">
        <v>153</v>
      </c>
      <c r="H48" s="1">
        <v>5</v>
      </c>
      <c r="I48" s="1">
        <v>33</v>
      </c>
      <c r="J48" s="1">
        <v>0.99065884302617002</v>
      </c>
      <c r="K48" s="1">
        <f t="shared" si="0"/>
        <v>586</v>
      </c>
      <c r="L48" s="1">
        <f t="shared" si="1"/>
        <v>158</v>
      </c>
      <c r="M48" s="1">
        <f t="shared" si="2"/>
        <v>0.94892473118279574</v>
      </c>
      <c r="N48" s="1">
        <f t="shared" si="3"/>
        <v>0.99103942652329746</v>
      </c>
      <c r="O48" s="1">
        <f t="shared" si="9"/>
        <v>0.94368600682593862</v>
      </c>
      <c r="P48" s="1">
        <f t="shared" si="4"/>
        <v>0.96835443037974689</v>
      </c>
      <c r="Q48" s="1">
        <f t="shared" si="5"/>
        <v>0.96678321678321677</v>
      </c>
      <c r="R48">
        <f t="shared" si="6"/>
        <v>0.85660377358490569</v>
      </c>
      <c r="S48">
        <f t="shared" si="7"/>
        <v>0.86142579825457544</v>
      </c>
    </row>
    <row r="49" spans="1:19" x14ac:dyDescent="0.35">
      <c r="A49" s="1" t="s">
        <v>20</v>
      </c>
      <c r="B49" s="1" t="s">
        <v>13</v>
      </c>
      <c r="C49" s="1" t="s">
        <v>12</v>
      </c>
      <c r="D49" s="1">
        <v>2679</v>
      </c>
      <c r="E49" s="1">
        <v>186</v>
      </c>
      <c r="F49" s="1">
        <v>2401</v>
      </c>
      <c r="G49" s="1">
        <v>21</v>
      </c>
      <c r="H49" s="1">
        <v>216</v>
      </c>
      <c r="I49" s="1">
        <v>41</v>
      </c>
      <c r="J49" s="1">
        <v>0.73075548214527997</v>
      </c>
      <c r="K49" s="1">
        <f t="shared" si="0"/>
        <v>2442</v>
      </c>
      <c r="L49" s="1">
        <f t="shared" si="1"/>
        <v>237</v>
      </c>
      <c r="M49" s="1">
        <f t="shared" si="2"/>
        <v>0.90406868234415827</v>
      </c>
      <c r="N49" s="1">
        <f t="shared" si="3"/>
        <v>0.9174627435995415</v>
      </c>
      <c r="O49" s="1">
        <f t="shared" si="9"/>
        <v>0.98321048321048321</v>
      </c>
      <c r="P49" s="1">
        <f t="shared" si="4"/>
        <v>8.8607594936708861E-2</v>
      </c>
      <c r="Q49" s="1">
        <f t="shared" si="5"/>
        <v>0.94919944653093502</v>
      </c>
      <c r="R49">
        <f t="shared" si="6"/>
        <v>0.10773256198218584</v>
      </c>
      <c r="S49">
        <f t="shared" si="7"/>
        <v>0.13563853048411606</v>
      </c>
    </row>
    <row r="50" spans="1:19" x14ac:dyDescent="0.35">
      <c r="A50" s="1" t="s">
        <v>10</v>
      </c>
      <c r="B50" s="1" t="s">
        <v>11</v>
      </c>
      <c r="C50" s="1" t="s">
        <v>12</v>
      </c>
      <c r="D50" s="1">
        <v>744</v>
      </c>
      <c r="E50" s="1">
        <v>186</v>
      </c>
      <c r="F50" s="1">
        <v>529</v>
      </c>
      <c r="G50" s="1">
        <v>78</v>
      </c>
      <c r="H50" s="1">
        <v>29</v>
      </c>
      <c r="I50" s="1">
        <v>108</v>
      </c>
      <c r="J50" s="1">
        <v>0.83033684048251999</v>
      </c>
      <c r="K50" s="1">
        <f t="shared" si="0"/>
        <v>637</v>
      </c>
      <c r="L50" s="1">
        <f t="shared" si="1"/>
        <v>107</v>
      </c>
      <c r="M50" s="1">
        <f t="shared" si="2"/>
        <v>0.81586021505376349</v>
      </c>
      <c r="N50" s="1">
        <f t="shared" si="3"/>
        <v>0.94802867383512546</v>
      </c>
      <c r="O50" s="1">
        <f t="shared" si="9"/>
        <v>0.8304552590266876</v>
      </c>
      <c r="P50" s="1">
        <f t="shared" si="4"/>
        <v>0.7289719626168224</v>
      </c>
      <c r="Q50" s="1">
        <f t="shared" si="5"/>
        <v>0.88535564853556481</v>
      </c>
      <c r="R50">
        <f t="shared" si="6"/>
        <v>0.42797494780793321</v>
      </c>
      <c r="S50">
        <f t="shared" si="7"/>
        <v>0.45334792124876083</v>
      </c>
    </row>
    <row r="51" spans="1:19" x14ac:dyDescent="0.35">
      <c r="A51" s="1" t="s">
        <v>10</v>
      </c>
      <c r="B51" s="1" t="s">
        <v>13</v>
      </c>
      <c r="C51" s="1" t="s">
        <v>12</v>
      </c>
      <c r="D51" s="1">
        <v>2679</v>
      </c>
      <c r="E51" s="1">
        <v>186</v>
      </c>
      <c r="F51" s="1">
        <v>2439</v>
      </c>
      <c r="G51" s="1">
        <v>22</v>
      </c>
      <c r="H51" s="1">
        <v>178</v>
      </c>
      <c r="I51" s="1">
        <v>40</v>
      </c>
      <c r="J51" s="1">
        <v>0.82929234410246</v>
      </c>
      <c r="K51" s="1">
        <f t="shared" si="0"/>
        <v>2479</v>
      </c>
      <c r="L51" s="1">
        <f t="shared" si="1"/>
        <v>200</v>
      </c>
      <c r="M51" s="1">
        <f t="shared" si="2"/>
        <v>0.9186263531168346</v>
      </c>
      <c r="N51" s="1">
        <f t="shared" si="3"/>
        <v>0.93198318685517767</v>
      </c>
      <c r="O51" s="1">
        <f t="shared" si="9"/>
        <v>0.98386446147640183</v>
      </c>
      <c r="P51" s="1">
        <f t="shared" si="4"/>
        <v>0.11</v>
      </c>
      <c r="Q51" s="1">
        <f t="shared" si="5"/>
        <v>0.95722135007849296</v>
      </c>
      <c r="R51">
        <f t="shared" si="6"/>
        <v>0.13746311464514738</v>
      </c>
      <c r="S51">
        <f t="shared" si="7"/>
        <v>0.16408041582611999</v>
      </c>
    </row>
    <row r="52" spans="1:19" x14ac:dyDescent="0.35">
      <c r="A52" s="1" t="s">
        <v>14</v>
      </c>
      <c r="B52" s="1" t="s">
        <v>11</v>
      </c>
      <c r="C52" s="1" t="s">
        <v>12</v>
      </c>
      <c r="D52" s="1">
        <v>744</v>
      </c>
      <c r="E52" s="1">
        <v>186</v>
      </c>
      <c r="F52" s="1">
        <v>527</v>
      </c>
      <c r="G52" s="1">
        <v>77</v>
      </c>
      <c r="H52" s="1">
        <v>31</v>
      </c>
      <c r="I52" s="1">
        <v>109</v>
      </c>
      <c r="J52" s="1">
        <v>0.82921917755425001</v>
      </c>
      <c r="K52" s="1">
        <f t="shared" si="0"/>
        <v>636</v>
      </c>
      <c r="L52" s="1">
        <f t="shared" si="1"/>
        <v>108</v>
      </c>
      <c r="M52" s="1">
        <f t="shared" si="2"/>
        <v>0.81182795698924726</v>
      </c>
      <c r="N52" s="1">
        <f t="shared" si="3"/>
        <v>0.94444444444444442</v>
      </c>
      <c r="O52" s="1">
        <f t="shared" si="9"/>
        <v>0.82861635220125784</v>
      </c>
      <c r="P52" s="1">
        <f t="shared" si="4"/>
        <v>0.71296296296296291</v>
      </c>
      <c r="Q52" s="1">
        <f t="shared" si="5"/>
        <v>0.88274706867671693</v>
      </c>
      <c r="R52">
        <f t="shared" si="6"/>
        <v>0.41666666666666669</v>
      </c>
      <c r="S52">
        <f t="shared" si="7"/>
        <v>0.44058421428785782</v>
      </c>
    </row>
    <row r="53" spans="1:19" x14ac:dyDescent="0.35">
      <c r="A53" s="1" t="s">
        <v>14</v>
      </c>
      <c r="B53" s="1" t="s">
        <v>13</v>
      </c>
      <c r="C53" s="1" t="s">
        <v>12</v>
      </c>
      <c r="D53" s="1">
        <v>2679</v>
      </c>
      <c r="E53" s="1">
        <v>186</v>
      </c>
      <c r="F53" s="1">
        <v>2426</v>
      </c>
      <c r="G53" s="1">
        <v>23</v>
      </c>
      <c r="H53" s="1">
        <v>191</v>
      </c>
      <c r="I53" s="1">
        <v>39</v>
      </c>
      <c r="J53" s="1">
        <v>0.83050032664833995</v>
      </c>
      <c r="K53" s="1">
        <f t="shared" si="0"/>
        <v>2465</v>
      </c>
      <c r="L53" s="1">
        <f t="shared" si="1"/>
        <v>214</v>
      </c>
      <c r="M53" s="1">
        <f t="shared" si="2"/>
        <v>0.91414706980216498</v>
      </c>
      <c r="N53" s="1">
        <f t="shared" si="3"/>
        <v>0.92701566679403902</v>
      </c>
      <c r="O53" s="1">
        <f t="shared" si="9"/>
        <v>0.98417849898580123</v>
      </c>
      <c r="P53" s="1">
        <f t="shared" si="4"/>
        <v>0.10747663551401869</v>
      </c>
      <c r="Q53" s="1">
        <f t="shared" si="5"/>
        <v>0.95474222746950022</v>
      </c>
      <c r="R53">
        <f t="shared" si="6"/>
        <v>0.1356464310363209</v>
      </c>
      <c r="S53">
        <f t="shared" si="7"/>
        <v>0.1652625468937812</v>
      </c>
    </row>
    <row r="54" spans="1:19" x14ac:dyDescent="0.35">
      <c r="A54" s="1" t="s">
        <v>15</v>
      </c>
      <c r="B54" s="1" t="s">
        <v>11</v>
      </c>
      <c r="C54" s="1" t="s">
        <v>12</v>
      </c>
      <c r="D54" s="1">
        <v>744</v>
      </c>
      <c r="E54" s="1">
        <v>186</v>
      </c>
      <c r="F54" s="1">
        <v>558</v>
      </c>
      <c r="G54" s="1">
        <v>186</v>
      </c>
      <c r="H54" s="1">
        <v>0</v>
      </c>
      <c r="I54" s="1">
        <v>0</v>
      </c>
      <c r="J54" s="1">
        <v>1</v>
      </c>
      <c r="K54" s="1">
        <f t="shared" si="0"/>
        <v>558</v>
      </c>
      <c r="L54" s="1">
        <f t="shared" si="1"/>
        <v>186</v>
      </c>
      <c r="M54" s="1">
        <f t="shared" si="2"/>
        <v>1</v>
      </c>
      <c r="N54" s="1">
        <f t="shared" si="3"/>
        <v>1</v>
      </c>
      <c r="O54" s="1">
        <f t="shared" si="9"/>
        <v>1</v>
      </c>
      <c r="P54" s="1">
        <f t="shared" si="4"/>
        <v>1</v>
      </c>
      <c r="Q54" s="1">
        <f t="shared" si="5"/>
        <v>1</v>
      </c>
      <c r="R54">
        <f t="shared" si="6"/>
        <v>1</v>
      </c>
      <c r="S54">
        <f t="shared" si="7"/>
        <v>1</v>
      </c>
    </row>
    <row r="55" spans="1:19" x14ac:dyDescent="0.35">
      <c r="A55" s="1" t="s">
        <v>15</v>
      </c>
      <c r="B55" s="1" t="s">
        <v>13</v>
      </c>
      <c r="C55" s="1" t="s">
        <v>12</v>
      </c>
      <c r="D55" s="1">
        <v>2679</v>
      </c>
      <c r="E55" s="1">
        <v>186</v>
      </c>
      <c r="F55" s="1">
        <v>2150</v>
      </c>
      <c r="G55" s="1">
        <v>29</v>
      </c>
      <c r="H55" s="1">
        <v>467</v>
      </c>
      <c r="I55" s="1">
        <v>33</v>
      </c>
      <c r="J55" s="1">
        <v>0.64464666510532997</v>
      </c>
      <c r="K55" s="1">
        <f t="shared" si="0"/>
        <v>2183</v>
      </c>
      <c r="L55" s="1">
        <f t="shared" si="1"/>
        <v>496</v>
      </c>
      <c r="M55" s="1">
        <f t="shared" si="2"/>
        <v>0.81336319522209777</v>
      </c>
      <c r="N55" s="1">
        <f t="shared" si="3"/>
        <v>0.8215513947267864</v>
      </c>
      <c r="O55" s="1">
        <f t="shared" si="9"/>
        <v>0.98488318827301879</v>
      </c>
      <c r="P55" s="1">
        <f t="shared" si="4"/>
        <v>5.8467741935483868E-2</v>
      </c>
      <c r="Q55" s="1">
        <f t="shared" si="5"/>
        <v>0.89583333333333337</v>
      </c>
      <c r="R55">
        <f t="shared" si="6"/>
        <v>6.5494238086534054E-2</v>
      </c>
      <c r="S55">
        <f t="shared" si="7"/>
        <v>0.11198720894703788</v>
      </c>
    </row>
    <row r="56" spans="1:19" x14ac:dyDescent="0.35">
      <c r="A56" s="1" t="s">
        <v>16</v>
      </c>
      <c r="B56" s="1" t="s">
        <v>11</v>
      </c>
      <c r="C56" s="1" t="s">
        <v>12</v>
      </c>
      <c r="D56" s="1">
        <v>744</v>
      </c>
      <c r="E56" s="1">
        <v>186</v>
      </c>
      <c r="F56" s="1">
        <v>558</v>
      </c>
      <c r="G56" s="1">
        <v>186</v>
      </c>
      <c r="H56" s="1">
        <v>0</v>
      </c>
      <c r="I56" s="1">
        <v>0</v>
      </c>
      <c r="J56" s="1">
        <v>1</v>
      </c>
      <c r="K56" s="1">
        <f t="shared" si="0"/>
        <v>558</v>
      </c>
      <c r="L56" s="1">
        <f t="shared" si="1"/>
        <v>186</v>
      </c>
      <c r="M56" s="1">
        <f t="shared" si="2"/>
        <v>1</v>
      </c>
      <c r="N56" s="1">
        <f t="shared" si="3"/>
        <v>1</v>
      </c>
      <c r="O56" s="1">
        <f t="shared" si="9"/>
        <v>1</v>
      </c>
      <c r="P56" s="1">
        <f t="shared" si="4"/>
        <v>1</v>
      </c>
      <c r="Q56" s="1">
        <f t="shared" si="5"/>
        <v>1</v>
      </c>
      <c r="R56">
        <f t="shared" si="6"/>
        <v>1</v>
      </c>
      <c r="S56">
        <f t="shared" si="7"/>
        <v>1</v>
      </c>
    </row>
    <row r="57" spans="1:19" x14ac:dyDescent="0.35">
      <c r="A57" s="1" t="s">
        <v>16</v>
      </c>
      <c r="B57" s="1" t="s">
        <v>13</v>
      </c>
      <c r="C57" s="1" t="s">
        <v>12</v>
      </c>
      <c r="D57" s="1">
        <v>2679</v>
      </c>
      <c r="E57" s="1">
        <v>186</v>
      </c>
      <c r="F57" s="1">
        <v>2420</v>
      </c>
      <c r="G57" s="1">
        <v>28</v>
      </c>
      <c r="H57" s="1">
        <v>197</v>
      </c>
      <c r="I57" s="1">
        <v>34</v>
      </c>
      <c r="J57" s="1">
        <v>0.84007482095972996</v>
      </c>
      <c r="K57" s="1">
        <f t="shared" si="0"/>
        <v>2454</v>
      </c>
      <c r="L57" s="1">
        <f t="shared" si="1"/>
        <v>225</v>
      </c>
      <c r="M57" s="1">
        <f t="shared" si="2"/>
        <v>0.91377379619260923</v>
      </c>
      <c r="N57" s="1">
        <f t="shared" si="3"/>
        <v>0.92472296522735953</v>
      </c>
      <c r="O57" s="1">
        <f t="shared" si="9"/>
        <v>0.98614506927465362</v>
      </c>
      <c r="P57" s="1">
        <f t="shared" si="4"/>
        <v>0.12444444444444444</v>
      </c>
      <c r="Q57" s="1">
        <f t="shared" si="5"/>
        <v>0.95444685466377444</v>
      </c>
      <c r="R57">
        <f t="shared" si="6"/>
        <v>0.16481572203035738</v>
      </c>
      <c r="S57">
        <f t="shared" si="7"/>
        <v>0.20400686431414528</v>
      </c>
    </row>
    <row r="58" spans="1:19" x14ac:dyDescent="0.35">
      <c r="A58" s="1" t="s">
        <v>17</v>
      </c>
      <c r="B58" s="1" t="s">
        <v>11</v>
      </c>
      <c r="C58" s="1" t="s">
        <v>12</v>
      </c>
      <c r="D58" s="1">
        <v>744</v>
      </c>
      <c r="E58" s="1">
        <v>186</v>
      </c>
      <c r="F58" s="1">
        <v>526</v>
      </c>
      <c r="G58" s="1">
        <v>105</v>
      </c>
      <c r="H58" s="1">
        <v>32</v>
      </c>
      <c r="I58" s="1">
        <v>81</v>
      </c>
      <c r="J58" s="1">
        <v>0.90720988938990998</v>
      </c>
      <c r="K58" s="1">
        <f t="shared" si="0"/>
        <v>607</v>
      </c>
      <c r="L58" s="1">
        <f t="shared" si="1"/>
        <v>137</v>
      </c>
      <c r="M58" s="1">
        <f t="shared" si="2"/>
        <v>0.8481182795698925</v>
      </c>
      <c r="N58" s="1">
        <f t="shared" si="3"/>
        <v>0.94265232974910396</v>
      </c>
      <c r="O58" s="1">
        <f t="shared" si="9"/>
        <v>0.86655683690280061</v>
      </c>
      <c r="P58" s="1">
        <f t="shared" si="4"/>
        <v>0.76642335766423353</v>
      </c>
      <c r="Q58" s="1">
        <f t="shared" si="5"/>
        <v>0.90300429184549358</v>
      </c>
      <c r="R58">
        <f t="shared" si="6"/>
        <v>0.55599214145383102</v>
      </c>
      <c r="S58">
        <f t="shared" si="7"/>
        <v>0.56659296652684399</v>
      </c>
    </row>
    <row r="59" spans="1:19" x14ac:dyDescent="0.35">
      <c r="A59" s="1" t="s">
        <v>17</v>
      </c>
      <c r="B59" s="1" t="s">
        <v>13</v>
      </c>
      <c r="C59" s="1" t="s">
        <v>12</v>
      </c>
      <c r="D59" s="1">
        <v>2679</v>
      </c>
      <c r="E59" s="1">
        <v>186</v>
      </c>
      <c r="F59" s="1">
        <v>2346</v>
      </c>
      <c r="G59" s="1">
        <v>32</v>
      </c>
      <c r="H59" s="1">
        <v>271</v>
      </c>
      <c r="I59" s="1">
        <v>30</v>
      </c>
      <c r="J59" s="1">
        <v>0.78036288781787</v>
      </c>
      <c r="K59" s="1">
        <f t="shared" si="0"/>
        <v>2376</v>
      </c>
      <c r="L59" s="1">
        <f t="shared" si="1"/>
        <v>303</v>
      </c>
      <c r="M59" s="1">
        <f t="shared" si="2"/>
        <v>0.88764464352370287</v>
      </c>
      <c r="N59" s="1">
        <f t="shared" si="3"/>
        <v>0.89644631257164697</v>
      </c>
      <c r="O59" s="1">
        <f t="shared" si="9"/>
        <v>0.98737373737373735</v>
      </c>
      <c r="P59" s="1">
        <f t="shared" si="4"/>
        <v>0.10561056105610561</v>
      </c>
      <c r="Q59" s="1">
        <f t="shared" si="5"/>
        <v>0.93971560184257963</v>
      </c>
      <c r="R59">
        <f t="shared" si="6"/>
        <v>0.14238994834423985</v>
      </c>
      <c r="S59">
        <f t="shared" si="7"/>
        <v>0.19586482325430787</v>
      </c>
    </row>
    <row r="60" spans="1:19" x14ac:dyDescent="0.35">
      <c r="A60" s="1" t="s">
        <v>18</v>
      </c>
      <c r="B60" s="1" t="s">
        <v>11</v>
      </c>
      <c r="C60" s="1" t="s">
        <v>12</v>
      </c>
      <c r="D60" s="1">
        <v>744</v>
      </c>
      <c r="E60" s="1">
        <v>186</v>
      </c>
      <c r="F60" s="1">
        <v>497</v>
      </c>
      <c r="G60" s="1">
        <v>78</v>
      </c>
      <c r="H60" s="1">
        <v>61</v>
      </c>
      <c r="I60" s="1">
        <v>108</v>
      </c>
      <c r="J60" s="1">
        <v>0.79463907195437</v>
      </c>
      <c r="K60" s="1">
        <f t="shared" si="0"/>
        <v>605</v>
      </c>
      <c r="L60" s="1">
        <f t="shared" si="1"/>
        <v>139</v>
      </c>
      <c r="M60" s="1">
        <f t="shared" si="2"/>
        <v>0.77284946236559138</v>
      </c>
      <c r="N60" s="1">
        <f t="shared" si="3"/>
        <v>0.89068100358422941</v>
      </c>
      <c r="O60" s="1">
        <f t="shared" si="9"/>
        <v>0.82148760330578507</v>
      </c>
      <c r="P60" s="1">
        <f t="shared" si="4"/>
        <v>0.5611510791366906</v>
      </c>
      <c r="Q60" s="1">
        <f t="shared" si="5"/>
        <v>0.85468615649183144</v>
      </c>
      <c r="R60">
        <f t="shared" si="6"/>
        <v>0.33855185909980429</v>
      </c>
      <c r="S60">
        <f t="shared" si="7"/>
        <v>0.34442953735892584</v>
      </c>
    </row>
    <row r="61" spans="1:19" x14ac:dyDescent="0.35">
      <c r="A61" s="1" t="s">
        <v>18</v>
      </c>
      <c r="B61" s="1" t="s">
        <v>13</v>
      </c>
      <c r="C61" s="1" t="s">
        <v>12</v>
      </c>
      <c r="D61" s="1">
        <v>2679</v>
      </c>
      <c r="E61" s="1">
        <v>186</v>
      </c>
      <c r="F61" s="1">
        <v>2327</v>
      </c>
      <c r="G61" s="1">
        <v>23</v>
      </c>
      <c r="H61" s="1">
        <v>290</v>
      </c>
      <c r="I61" s="1">
        <v>39</v>
      </c>
      <c r="J61" s="1">
        <v>0.82416458145869997</v>
      </c>
      <c r="K61" s="1">
        <f t="shared" si="0"/>
        <v>2366</v>
      </c>
      <c r="L61" s="1">
        <f t="shared" si="1"/>
        <v>313</v>
      </c>
      <c r="M61" s="1">
        <f t="shared" si="2"/>
        <v>0.8771929824561403</v>
      </c>
      <c r="N61" s="1">
        <f t="shared" si="3"/>
        <v>0.88918609094382883</v>
      </c>
      <c r="O61" s="1">
        <f t="shared" si="9"/>
        <v>0.98351648351648346</v>
      </c>
      <c r="P61" s="1">
        <f t="shared" si="4"/>
        <v>7.3482428115015971E-2</v>
      </c>
      <c r="Q61" s="1">
        <f t="shared" si="5"/>
        <v>0.93397551675697366</v>
      </c>
      <c r="R61">
        <f t="shared" si="6"/>
        <v>8.7410295781895672E-2</v>
      </c>
      <c r="S61">
        <f t="shared" si="7"/>
        <v>0.12177226831624609</v>
      </c>
    </row>
    <row r="62" spans="1:19" x14ac:dyDescent="0.35">
      <c r="A62" s="1" t="s">
        <v>19</v>
      </c>
      <c r="B62" s="1" t="s">
        <v>11</v>
      </c>
      <c r="C62" s="1" t="s">
        <v>12</v>
      </c>
      <c r="D62" s="1">
        <v>744</v>
      </c>
      <c r="E62" s="1">
        <v>186</v>
      </c>
      <c r="F62" s="1">
        <v>532</v>
      </c>
      <c r="G62" s="1">
        <v>63</v>
      </c>
      <c r="H62" s="1">
        <v>26</v>
      </c>
      <c r="I62" s="1">
        <v>123</v>
      </c>
      <c r="J62" s="1">
        <v>0.82946005318534</v>
      </c>
      <c r="K62" s="1">
        <f t="shared" si="0"/>
        <v>655</v>
      </c>
      <c r="L62" s="1">
        <f t="shared" si="1"/>
        <v>89</v>
      </c>
      <c r="M62" s="1">
        <f t="shared" si="2"/>
        <v>0.79973118279569888</v>
      </c>
      <c r="N62" s="1">
        <f t="shared" si="3"/>
        <v>0.95340501792114696</v>
      </c>
      <c r="O62" s="1">
        <f t="shared" si="9"/>
        <v>0.81221374045801531</v>
      </c>
      <c r="P62" s="1">
        <f t="shared" si="4"/>
        <v>0.7078651685393258</v>
      </c>
      <c r="Q62" s="1">
        <f t="shared" si="5"/>
        <v>0.87716405605935699</v>
      </c>
      <c r="R62">
        <f t="shared" si="6"/>
        <v>0.35357917570498915</v>
      </c>
      <c r="S62">
        <f t="shared" si="7"/>
        <v>0.38977261583489786</v>
      </c>
    </row>
    <row r="63" spans="1:19" x14ac:dyDescent="0.35">
      <c r="A63" s="1" t="s">
        <v>19</v>
      </c>
      <c r="B63" s="1" t="s">
        <v>13</v>
      </c>
      <c r="C63" s="1" t="s">
        <v>12</v>
      </c>
      <c r="D63" s="1">
        <v>2679</v>
      </c>
      <c r="E63" s="1">
        <v>186</v>
      </c>
      <c r="F63" s="1">
        <v>2465</v>
      </c>
      <c r="G63" s="1">
        <v>19</v>
      </c>
      <c r="H63" s="1">
        <v>152</v>
      </c>
      <c r="I63" s="1">
        <v>43</v>
      </c>
      <c r="J63" s="1">
        <v>0.82415533669431995</v>
      </c>
      <c r="K63" s="1">
        <f t="shared" si="0"/>
        <v>2508</v>
      </c>
      <c r="L63" s="1">
        <f t="shared" si="1"/>
        <v>171</v>
      </c>
      <c r="M63" s="1">
        <f t="shared" si="2"/>
        <v>0.92721164613661811</v>
      </c>
      <c r="N63" s="1">
        <f t="shared" si="3"/>
        <v>0.94191822697745509</v>
      </c>
      <c r="O63" s="1">
        <f t="shared" si="9"/>
        <v>0.98285486443381176</v>
      </c>
      <c r="P63" s="1">
        <f t="shared" si="4"/>
        <v>0.1111111111111111</v>
      </c>
      <c r="Q63" s="1">
        <f t="shared" si="5"/>
        <v>0.96195121951219509</v>
      </c>
      <c r="R63">
        <f t="shared" si="6"/>
        <v>0.13366102656205692</v>
      </c>
      <c r="S63">
        <f t="shared" si="7"/>
        <v>0.15276882633680369</v>
      </c>
    </row>
    <row r="64" spans="1:19" x14ac:dyDescent="0.35">
      <c r="A64" s="1" t="s">
        <v>20</v>
      </c>
      <c r="B64" s="1" t="s">
        <v>11</v>
      </c>
      <c r="C64" s="1" t="s">
        <v>12</v>
      </c>
      <c r="D64" s="1">
        <v>744</v>
      </c>
      <c r="E64" s="1">
        <v>186</v>
      </c>
      <c r="F64" s="1">
        <v>553</v>
      </c>
      <c r="G64" s="1">
        <v>156</v>
      </c>
      <c r="H64" s="1">
        <v>5</v>
      </c>
      <c r="I64" s="1">
        <v>30</v>
      </c>
      <c r="J64" s="1">
        <v>0.99271592091571004</v>
      </c>
      <c r="K64" s="1">
        <f t="shared" si="0"/>
        <v>583</v>
      </c>
      <c r="L64" s="1">
        <f t="shared" si="1"/>
        <v>161</v>
      </c>
      <c r="M64" s="1">
        <f t="shared" si="2"/>
        <v>0.95295698924731187</v>
      </c>
      <c r="N64" s="1">
        <f t="shared" si="3"/>
        <v>0.99103942652329746</v>
      </c>
      <c r="O64" s="1">
        <f t="shared" si="9"/>
        <v>0.94854202401372212</v>
      </c>
      <c r="P64" s="1">
        <f t="shared" si="4"/>
        <v>0.96894409937888204</v>
      </c>
      <c r="Q64" s="1">
        <f t="shared" si="5"/>
        <v>0.96932515337423308</v>
      </c>
      <c r="R64">
        <f t="shared" si="6"/>
        <v>0.86866791744840521</v>
      </c>
      <c r="S64">
        <f t="shared" si="7"/>
        <v>0.87251549485658486</v>
      </c>
    </row>
    <row r="65" spans="1:19" x14ac:dyDescent="0.35">
      <c r="A65" s="1" t="s">
        <v>20</v>
      </c>
      <c r="B65" s="1" t="s">
        <v>13</v>
      </c>
      <c r="C65" s="1" t="s">
        <v>12</v>
      </c>
      <c r="D65" s="1">
        <v>2679</v>
      </c>
      <c r="E65" s="1">
        <v>186</v>
      </c>
      <c r="F65" s="1">
        <v>2380</v>
      </c>
      <c r="G65" s="1">
        <v>34</v>
      </c>
      <c r="H65" s="1">
        <v>237</v>
      </c>
      <c r="I65" s="1">
        <v>28</v>
      </c>
      <c r="J65" s="1">
        <v>0.84588053299148003</v>
      </c>
      <c r="K65" s="1">
        <f t="shared" si="0"/>
        <v>2408</v>
      </c>
      <c r="L65" s="1">
        <f t="shared" si="1"/>
        <v>271</v>
      </c>
      <c r="M65" s="1">
        <f t="shared" si="2"/>
        <v>0.90108249346771185</v>
      </c>
      <c r="N65" s="1">
        <f t="shared" si="3"/>
        <v>0.90943828811616356</v>
      </c>
      <c r="O65" s="1">
        <f t="shared" si="9"/>
        <v>0.98837209302325579</v>
      </c>
      <c r="P65" s="1">
        <f t="shared" si="4"/>
        <v>0.12546125461254612</v>
      </c>
      <c r="Q65" s="1">
        <f t="shared" si="5"/>
        <v>0.94726368159203977</v>
      </c>
      <c r="R65">
        <f t="shared" si="6"/>
        <v>0.1730547243282784</v>
      </c>
      <c r="S65">
        <f t="shared" si="7"/>
        <v>0.2282888437806781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F1 score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2024-12-01T15:47:51Z</dcterms:created>
  <dcterms:modified xsi:type="dcterms:W3CDTF">2024-12-16T12:49:16Z</dcterms:modified>
  <cp:category/>
</cp:coreProperties>
</file>