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1" l="1"/>
  <c r="F39" i="1"/>
  <c r="D39" i="1"/>
  <c r="F36" i="1"/>
  <c r="E36" i="1"/>
  <c r="D36" i="1"/>
  <c r="F24" i="1"/>
  <c r="E24" i="1"/>
  <c r="D24" i="1"/>
  <c r="Q11" i="1"/>
  <c r="P11" i="1"/>
  <c r="O11" i="1"/>
  <c r="L11" i="1"/>
  <c r="K11" i="1"/>
  <c r="J11" i="1"/>
  <c r="E11" i="1" l="1"/>
  <c r="F11" i="1"/>
  <c r="D11" i="1"/>
</calcChain>
</file>

<file path=xl/sharedStrings.xml><?xml version="1.0" encoding="utf-8"?>
<sst xmlns="http://schemas.openxmlformats.org/spreadsheetml/2006/main" count="80" uniqueCount="21">
  <si>
    <t>PCA</t>
  </si>
  <si>
    <t>MiniBatch KMeans</t>
  </si>
  <si>
    <t>DBSCAN</t>
  </si>
  <si>
    <t>Agglomerative Clustering</t>
  </si>
  <si>
    <t>Davies–Bouldin index</t>
  </si>
  <si>
    <t>Silhouette score</t>
  </si>
  <si>
    <t>Adjusted Mutual Information</t>
  </si>
  <si>
    <t>Calinski–Harabasz index</t>
  </si>
  <si>
    <t>SUM</t>
  </si>
  <si>
    <t>Αξιολόγηση Μετρικών</t>
  </si>
  <si>
    <t>3-καλύτερη</t>
  </si>
  <si>
    <t>2-μέτρια</t>
  </si>
  <si>
    <t>1-χειρότερη</t>
  </si>
  <si>
    <t>SAE</t>
  </si>
  <si>
    <t>BEST</t>
  </si>
  <si>
    <t>Factor Analysis</t>
  </si>
  <si>
    <t>FINAL SUM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</si>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</sst>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00"/>
    <numFmt numFmtId="171" formatCode="0.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charset val="161"/>
      <scheme val="minor"/>
    </font>
    <font>
      <b/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70" fontId="2" fillId="5" borderId="2" xfId="0" applyNumberFormat="1" applyFont="1" applyFill="1" applyBorder="1" applyAlignment="1">
      <alignment horizontal="center" vertical="center"/>
    </xf>
    <xf numFmtId="171" fontId="2" fillId="5" borderId="2" xfId="0" applyNumberFormat="1" applyFont="1" applyFill="1" applyBorder="1" applyAlignment="1">
      <alignment horizontal="center" vertical="center"/>
    </xf>
    <xf numFmtId="170" fontId="2" fillId="5" borderId="10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70" fontId="2" fillId="5" borderId="3" xfId="0" applyNumberFormat="1" applyFont="1" applyFill="1" applyBorder="1" applyAlignment="1">
      <alignment horizontal="center" vertical="center"/>
    </xf>
    <xf numFmtId="170" fontId="2" fillId="5" borderId="14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70" fontId="2" fillId="5" borderId="12" xfId="0" applyNumberFormat="1" applyFont="1" applyFill="1" applyBorder="1" applyAlignment="1">
      <alignment horizontal="center" vertical="center"/>
    </xf>
    <xf numFmtId="170" fontId="2" fillId="5" borderId="5" xfId="0" applyNumberFormat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171" fontId="2" fillId="5" borderId="12" xfId="0" applyNumberFormat="1" applyFont="1" applyFill="1" applyBorder="1" applyAlignment="1">
      <alignment horizontal="center" vertical="center"/>
    </xf>
    <xf numFmtId="171" fontId="2" fillId="5" borderId="5" xfId="0" applyNumberFormat="1" applyFont="1" applyFill="1" applyBorder="1" applyAlignment="1">
      <alignment horizontal="center" vertical="center"/>
    </xf>
    <xf numFmtId="171" fontId="2" fillId="5" borderId="3" xfId="0" applyNumberFormat="1" applyFont="1" applyFill="1" applyBorder="1" applyAlignment="1">
      <alignment horizontal="center" vertical="center"/>
    </xf>
    <xf numFmtId="171" fontId="2" fillId="5" borderId="14" xfId="0" applyNumberFormat="1" applyFont="1" applyFill="1" applyBorder="1" applyAlignment="1">
      <alignment horizontal="center" vertical="center"/>
    </xf>
    <xf numFmtId="171" fontId="2" fillId="5" borderId="10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1"/>
  <sheetViews>
    <sheetView tabSelected="1" topLeftCell="A4" zoomScale="50" zoomScaleNormal="50" workbookViewId="0">
      <selection activeCell="K28" sqref="K28"/>
    </sheetView>
  </sheetViews>
  <sheetFormatPr defaultRowHeight="14.5"/>
  <cols>
    <col min="2" max="2" width="22.90625" customWidth="1"/>
    <col min="3" max="3" width="25.26953125" customWidth="1"/>
    <col min="4" max="4" width="19.54296875" customWidth="1"/>
    <col min="5" max="5" width="20" customWidth="1"/>
    <col min="6" max="6" width="23.7265625" customWidth="1"/>
    <col min="9" max="9" width="25.1796875" customWidth="1"/>
    <col min="10" max="10" width="16.90625" customWidth="1"/>
    <col min="11" max="11" width="16.54296875" customWidth="1"/>
    <col min="12" max="12" width="21.81640625" customWidth="1"/>
    <col min="14" max="14" width="25.54296875" customWidth="1"/>
    <col min="15" max="15" width="18.81640625" customWidth="1"/>
    <col min="16" max="16" width="16.90625" customWidth="1"/>
    <col min="17" max="17" width="22.36328125" customWidth="1"/>
  </cols>
  <sheetData>
    <row r="1" spans="3:17" ht="15" thickBot="1"/>
    <row r="2" spans="3:17" ht="15" thickBot="1">
      <c r="C2" s="2" t="s">
        <v>0</v>
      </c>
      <c r="D2" s="27" t="s">
        <v>1</v>
      </c>
      <c r="E2" s="3" t="s">
        <v>2</v>
      </c>
      <c r="F2" s="4" t="s">
        <v>3</v>
      </c>
      <c r="I2" s="2" t="s">
        <v>13</v>
      </c>
      <c r="J2" s="27" t="s">
        <v>1</v>
      </c>
      <c r="K2" s="3" t="s">
        <v>2</v>
      </c>
      <c r="L2" s="4" t="s">
        <v>3</v>
      </c>
      <c r="N2" s="2" t="s">
        <v>15</v>
      </c>
      <c r="O2" s="27" t="s">
        <v>1</v>
      </c>
      <c r="P2" s="3" t="s">
        <v>2</v>
      </c>
      <c r="Q2" s="4" t="s">
        <v>3</v>
      </c>
    </row>
    <row r="3" spans="3:17">
      <c r="C3" s="23" t="s">
        <v>7</v>
      </c>
      <c r="D3" s="25">
        <v>1350.768</v>
      </c>
      <c r="E3" s="26">
        <v>50.652873426977003</v>
      </c>
      <c r="F3" s="26">
        <v>1219.2390883437999</v>
      </c>
      <c r="I3" s="23" t="s">
        <v>7</v>
      </c>
      <c r="J3" s="28">
        <v>2818.29064612302</v>
      </c>
      <c r="K3" s="29">
        <v>158.62053881313599</v>
      </c>
      <c r="L3" s="29">
        <v>2519.0638467440899</v>
      </c>
      <c r="N3" s="23" t="s">
        <v>7</v>
      </c>
      <c r="O3" s="28">
        <v>167.13474564151099</v>
      </c>
      <c r="P3" s="29">
        <v>19.2844992469972</v>
      </c>
      <c r="Q3" s="29">
        <v>157.671411593741</v>
      </c>
    </row>
    <row r="4" spans="3:17">
      <c r="C4" s="24" t="s">
        <v>4</v>
      </c>
      <c r="D4" s="19">
        <v>1.9850000000000001</v>
      </c>
      <c r="E4" s="5">
        <v>1.6238680894648601</v>
      </c>
      <c r="F4" s="5">
        <v>2.0013461658836502</v>
      </c>
      <c r="I4" s="24" t="s">
        <v>4</v>
      </c>
      <c r="J4" s="30">
        <v>1.4300501947959601</v>
      </c>
      <c r="K4" s="6">
        <v>2.6141039670153399</v>
      </c>
      <c r="L4" s="6">
        <v>1.5081662539437699</v>
      </c>
      <c r="N4" s="24" t="s">
        <v>4</v>
      </c>
      <c r="O4" s="30">
        <v>3.8263878362838701</v>
      </c>
      <c r="P4" s="6">
        <v>1.46658742500355</v>
      </c>
      <c r="Q4" s="6">
        <v>3.8831106569735199</v>
      </c>
    </row>
    <row r="5" spans="3:17">
      <c r="C5" s="24" t="s">
        <v>5</v>
      </c>
      <c r="D5" s="19">
        <v>0.14699999999999999</v>
      </c>
      <c r="E5" s="5">
        <v>-0.32834016543711297</v>
      </c>
      <c r="F5" s="5">
        <v>0.12589988434869401</v>
      </c>
      <c r="I5" s="24" t="s">
        <v>5</v>
      </c>
      <c r="J5" s="30">
        <v>0.22461269795894601</v>
      </c>
      <c r="K5" s="6">
        <v>9.2371553182601901E-2</v>
      </c>
      <c r="L5" s="6">
        <v>0.220613598823547</v>
      </c>
      <c r="N5" s="24" t="s">
        <v>5</v>
      </c>
      <c r="O5" s="30">
        <v>3.2240273910829897E-2</v>
      </c>
      <c r="P5" s="6">
        <v>-6.31940096131859E-2</v>
      </c>
      <c r="Q5" s="6">
        <v>1.71749157327898E-2</v>
      </c>
    </row>
    <row r="6" spans="3:17" ht="15" thickBot="1">
      <c r="C6" s="22" t="s">
        <v>6</v>
      </c>
      <c r="D6" s="20">
        <v>0.5</v>
      </c>
      <c r="E6" s="7">
        <v>0.24801526251217301</v>
      </c>
      <c r="F6" s="7">
        <v>0.55224733668309101</v>
      </c>
      <c r="I6" s="22" t="s">
        <v>6</v>
      </c>
      <c r="J6" s="31">
        <v>0.49301810325787099</v>
      </c>
      <c r="K6" s="32">
        <v>1.3657701827180801E-2</v>
      </c>
      <c r="L6" s="32">
        <v>0.55266988206028</v>
      </c>
      <c r="N6" s="22" t="s">
        <v>6</v>
      </c>
      <c r="O6" s="31">
        <v>0.42814034968484799</v>
      </c>
      <c r="P6" s="32">
        <v>0.33976688350886602</v>
      </c>
      <c r="Q6" s="32">
        <v>0.54446952581451102</v>
      </c>
    </row>
    <row r="7" spans="3:17">
      <c r="C7" s="21" t="s">
        <v>9</v>
      </c>
      <c r="D7" s="14">
        <v>3</v>
      </c>
      <c r="E7" s="13">
        <v>1</v>
      </c>
      <c r="F7" s="13">
        <v>2</v>
      </c>
      <c r="I7" s="21" t="s">
        <v>9</v>
      </c>
      <c r="J7" s="14">
        <v>3</v>
      </c>
      <c r="K7" s="13">
        <v>1</v>
      </c>
      <c r="L7" s="13">
        <v>2</v>
      </c>
      <c r="N7" s="21" t="s">
        <v>9</v>
      </c>
      <c r="O7" s="14">
        <v>3</v>
      </c>
      <c r="P7" s="13">
        <v>1</v>
      </c>
      <c r="Q7" s="13">
        <v>2</v>
      </c>
    </row>
    <row r="8" spans="3:17">
      <c r="C8" s="17" t="s">
        <v>10</v>
      </c>
      <c r="D8" s="15">
        <v>2</v>
      </c>
      <c r="E8" s="8">
        <v>3</v>
      </c>
      <c r="F8" s="8">
        <v>1</v>
      </c>
      <c r="I8" s="17" t="s">
        <v>10</v>
      </c>
      <c r="J8" s="15">
        <v>3</v>
      </c>
      <c r="K8" s="8">
        <v>1</v>
      </c>
      <c r="L8" s="8">
        <v>2</v>
      </c>
      <c r="N8" s="17" t="s">
        <v>10</v>
      </c>
      <c r="O8" s="15">
        <v>2</v>
      </c>
      <c r="P8" s="8">
        <v>3</v>
      </c>
      <c r="Q8" s="8">
        <v>1</v>
      </c>
    </row>
    <row r="9" spans="3:17">
      <c r="C9" s="17" t="s">
        <v>11</v>
      </c>
      <c r="D9" s="15">
        <v>3</v>
      </c>
      <c r="E9" s="8">
        <v>1</v>
      </c>
      <c r="F9" s="8">
        <v>2</v>
      </c>
      <c r="I9" s="17" t="s">
        <v>11</v>
      </c>
      <c r="J9" s="15">
        <v>3</v>
      </c>
      <c r="K9" s="8">
        <v>1</v>
      </c>
      <c r="L9" s="8">
        <v>2</v>
      </c>
      <c r="N9" s="17" t="s">
        <v>11</v>
      </c>
      <c r="O9" s="15">
        <v>3</v>
      </c>
      <c r="P9" s="8">
        <v>1</v>
      </c>
      <c r="Q9" s="8">
        <v>2</v>
      </c>
    </row>
    <row r="10" spans="3:17" ht="15" thickBot="1">
      <c r="C10" s="18" t="s">
        <v>12</v>
      </c>
      <c r="D10" s="16">
        <v>2</v>
      </c>
      <c r="E10" s="9">
        <v>1</v>
      </c>
      <c r="F10" s="9">
        <v>3</v>
      </c>
      <c r="I10" s="18" t="s">
        <v>12</v>
      </c>
      <c r="J10" s="16">
        <v>2</v>
      </c>
      <c r="K10" s="9">
        <v>1</v>
      </c>
      <c r="L10" s="9">
        <v>3</v>
      </c>
      <c r="N10" s="18" t="s">
        <v>12</v>
      </c>
      <c r="O10" s="16">
        <v>2</v>
      </c>
      <c r="P10" s="9">
        <v>1</v>
      </c>
      <c r="Q10" s="9">
        <v>3</v>
      </c>
    </row>
    <row r="11" spans="3:17" ht="15" thickBot="1">
      <c r="C11" s="10" t="s">
        <v>8</v>
      </c>
      <c r="D11" s="11">
        <f>SUM(D7:D10)</f>
        <v>10</v>
      </c>
      <c r="E11" s="11">
        <f t="shared" ref="E11:F11" si="0">SUM(E7:E10)</f>
        <v>6</v>
      </c>
      <c r="F11" s="12">
        <f t="shared" si="0"/>
        <v>8</v>
      </c>
      <c r="I11" s="10" t="s">
        <v>8</v>
      </c>
      <c r="J11" s="11">
        <f>SUM(J7:J10)</f>
        <v>11</v>
      </c>
      <c r="K11" s="11">
        <f t="shared" ref="K11" si="1">SUM(K7:K10)</f>
        <v>4</v>
      </c>
      <c r="L11" s="12">
        <f t="shared" ref="L11" si="2">SUM(L7:L10)</f>
        <v>9</v>
      </c>
      <c r="N11" s="10" t="s">
        <v>8</v>
      </c>
      <c r="O11" s="11">
        <f>SUM(O7:O10)</f>
        <v>10</v>
      </c>
      <c r="P11" s="11">
        <f t="shared" ref="P11" si="3">SUM(P7:P10)</f>
        <v>6</v>
      </c>
      <c r="Q11" s="12">
        <f t="shared" ref="Q11" si="4">SUM(Q7:Q10)</f>
        <v>8</v>
      </c>
    </row>
    <row r="12" spans="3:17">
      <c r="D12" s="33" t="s">
        <v>14</v>
      </c>
      <c r="J12" s="33" t="s">
        <v>14</v>
      </c>
      <c r="O12" s="33" t="s">
        <v>14</v>
      </c>
    </row>
    <row r="14" spans="3:17" ht="15" thickBot="1"/>
    <row r="15" spans="3:17" ht="15" thickBot="1">
      <c r="C15" s="2" t="s">
        <v>13</v>
      </c>
      <c r="D15" s="27" t="s">
        <v>1</v>
      </c>
      <c r="E15" s="3" t="s">
        <v>2</v>
      </c>
      <c r="F15" s="4" t="s">
        <v>3</v>
      </c>
    </row>
    <row r="16" spans="3:17">
      <c r="C16" s="23" t="s">
        <v>7</v>
      </c>
      <c r="D16" s="28">
        <v>2818.29064612302</v>
      </c>
      <c r="E16" s="29">
        <v>158.62053881313599</v>
      </c>
      <c r="F16" s="29">
        <v>2519.0638467440899</v>
      </c>
    </row>
    <row r="17" spans="3:6">
      <c r="C17" s="24" t="s">
        <v>4</v>
      </c>
      <c r="D17" s="30">
        <v>1.4300501947959601</v>
      </c>
      <c r="E17" s="6">
        <v>2.6141039670153399</v>
      </c>
      <c r="F17" s="6">
        <v>1.5081662539437699</v>
      </c>
    </row>
    <row r="18" spans="3:6">
      <c r="C18" s="24" t="s">
        <v>5</v>
      </c>
      <c r="D18" s="30">
        <v>0.22461269795894601</v>
      </c>
      <c r="E18" s="6">
        <v>9.2371553182601901E-2</v>
      </c>
      <c r="F18" s="6">
        <v>0.220613598823547</v>
      </c>
    </row>
    <row r="19" spans="3:6" ht="15" thickBot="1">
      <c r="C19" s="22" t="s">
        <v>6</v>
      </c>
      <c r="D19" s="31">
        <v>0.49301810325787099</v>
      </c>
      <c r="E19" s="32">
        <v>1.3657701827180801E-2</v>
      </c>
      <c r="F19" s="32">
        <v>0.55266988206028</v>
      </c>
    </row>
    <row r="20" spans="3:6">
      <c r="C20" s="21" t="s">
        <v>9</v>
      </c>
      <c r="D20" s="14">
        <v>3</v>
      </c>
      <c r="E20" s="13">
        <v>1</v>
      </c>
      <c r="F20" s="13">
        <v>2</v>
      </c>
    </row>
    <row r="21" spans="3:6">
      <c r="C21" s="17" t="s">
        <v>10</v>
      </c>
      <c r="D21" s="15">
        <v>3</v>
      </c>
      <c r="E21" s="8">
        <v>1</v>
      </c>
      <c r="F21" s="8">
        <v>2</v>
      </c>
    </row>
    <row r="22" spans="3:6">
      <c r="C22" s="17" t="s">
        <v>11</v>
      </c>
      <c r="D22" s="15">
        <v>3</v>
      </c>
      <c r="E22" s="8">
        <v>1</v>
      </c>
      <c r="F22" s="8">
        <v>2</v>
      </c>
    </row>
    <row r="23" spans="3:6" ht="15" thickBot="1">
      <c r="C23" s="18" t="s">
        <v>12</v>
      </c>
      <c r="D23" s="16">
        <v>2</v>
      </c>
      <c r="E23" s="9">
        <v>1</v>
      </c>
      <c r="F23" s="9">
        <v>3</v>
      </c>
    </row>
    <row r="24" spans="3:6" ht="15" thickBot="1">
      <c r="C24" s="10" t="s">
        <v>8</v>
      </c>
      <c r="D24" s="11">
        <f>SUM(D20:D23)</f>
        <v>11</v>
      </c>
      <c r="E24" s="11">
        <f t="shared" ref="E24" si="5">SUM(E20:E23)</f>
        <v>4</v>
      </c>
      <c r="F24" s="12">
        <f t="shared" ref="F24" si="6">SUM(F20:F23)</f>
        <v>9</v>
      </c>
    </row>
    <row r="25" spans="3:6">
      <c r="D25" s="33" t="s">
        <v>14</v>
      </c>
    </row>
    <row r="26" spans="3:6" ht="15" thickBot="1"/>
    <row r="27" spans="3:6" ht="15" thickBot="1">
      <c r="C27" s="2" t="s">
        <v>15</v>
      </c>
      <c r="D27" s="27" t="s">
        <v>1</v>
      </c>
      <c r="E27" s="3" t="s">
        <v>2</v>
      </c>
      <c r="F27" s="4" t="s">
        <v>3</v>
      </c>
    </row>
    <row r="28" spans="3:6">
      <c r="C28" s="23" t="s">
        <v>7</v>
      </c>
      <c r="D28" s="28">
        <v>167.13474564151099</v>
      </c>
      <c r="E28" s="29">
        <v>19.2844992469972</v>
      </c>
      <c r="F28" s="29">
        <v>157.671411593741</v>
      </c>
    </row>
    <row r="29" spans="3:6">
      <c r="C29" s="24" t="s">
        <v>4</v>
      </c>
      <c r="D29" s="30">
        <v>3.8263878362838701</v>
      </c>
      <c r="E29" s="6">
        <v>1.46658742500355</v>
      </c>
      <c r="F29" s="6">
        <v>3.8831106569735199</v>
      </c>
    </row>
    <row r="30" spans="3:6">
      <c r="C30" s="24" t="s">
        <v>5</v>
      </c>
      <c r="D30" s="30">
        <v>3.2240273910829897E-2</v>
      </c>
      <c r="E30" s="6">
        <v>-6.31940096131859E-2</v>
      </c>
      <c r="F30" s="6">
        <v>1.71749157327898E-2</v>
      </c>
    </row>
    <row r="31" spans="3:6" ht="15" thickBot="1">
      <c r="C31" s="22" t="s">
        <v>6</v>
      </c>
      <c r="D31" s="31">
        <v>0.42814034968484799</v>
      </c>
      <c r="E31" s="32">
        <v>0.33976688350886602</v>
      </c>
      <c r="F31" s="32">
        <v>0.54446952581451102</v>
      </c>
    </row>
    <row r="32" spans="3:6">
      <c r="C32" s="21" t="s">
        <v>9</v>
      </c>
      <c r="D32" s="14">
        <v>3</v>
      </c>
      <c r="E32" s="13">
        <v>1</v>
      </c>
      <c r="F32" s="13">
        <v>2</v>
      </c>
    </row>
    <row r="33" spans="3:6">
      <c r="C33" s="17" t="s">
        <v>10</v>
      </c>
      <c r="D33" s="15">
        <v>2</v>
      </c>
      <c r="E33" s="8">
        <v>3</v>
      </c>
      <c r="F33" s="8">
        <v>1</v>
      </c>
    </row>
    <row r="34" spans="3:6">
      <c r="C34" s="17" t="s">
        <v>11</v>
      </c>
      <c r="D34" s="15">
        <v>3</v>
      </c>
      <c r="E34" s="8">
        <v>1</v>
      </c>
      <c r="F34" s="8">
        <v>2</v>
      </c>
    </row>
    <row r="35" spans="3:6" ht="15" thickBot="1">
      <c r="C35" s="18" t="s">
        <v>12</v>
      </c>
      <c r="D35" s="16">
        <v>2</v>
      </c>
      <c r="E35" s="9">
        <v>1</v>
      </c>
      <c r="F35" s="9">
        <v>3</v>
      </c>
    </row>
    <row r="36" spans="3:6" ht="15" thickBot="1">
      <c r="C36" s="10" t="s">
        <v>8</v>
      </c>
      <c r="D36" s="11">
        <f>SUM(D32:D35)</f>
        <v>10</v>
      </c>
      <c r="E36" s="11">
        <f t="shared" ref="E36" si="7">SUM(E32:E35)</f>
        <v>6</v>
      </c>
      <c r="F36" s="12">
        <f t="shared" ref="F36" si="8">SUM(F32:F35)</f>
        <v>8</v>
      </c>
    </row>
    <row r="37" spans="3:6">
      <c r="D37" s="33" t="s">
        <v>14</v>
      </c>
    </row>
    <row r="38" spans="3:6" ht="15" thickBot="1">
      <c r="D38" s="1"/>
    </row>
    <row r="39" spans="3:6" ht="15" thickBot="1">
      <c r="C39" s="34" t="s">
        <v>16</v>
      </c>
      <c r="D39" s="35">
        <f>SUM(D11,D24,D36)</f>
        <v>31</v>
      </c>
      <c r="E39" s="35">
        <f t="shared" ref="E39:F39" si="9">SUM(E11,E24,E36)</f>
        <v>16</v>
      </c>
      <c r="F39" s="36">
        <f t="shared" si="9"/>
        <v>25</v>
      </c>
    </row>
    <row r="40" spans="3:6">
      <c r="D40" s="1"/>
    </row>
    <row r="41" spans="3:6">
      <c r="D4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2025-01-02T11:03:53Z</dcterms:created>
  <dcterms:modified xsi:type="dcterms:W3CDTF">2025-01-02T12:44:04Z</dcterms:modified>
</cp:coreProperties>
</file>